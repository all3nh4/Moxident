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d Tracker" sheetId="1" state="visible" r:id="rId3"/>
    <sheet name="Dashboard" sheetId="2" state="visible" r:id="rId4"/>
    <sheet name="Follow-Up Cadence" sheetId="3" state="visible" r:id="rId5"/>
  </sheets>
  <definedNames>
    <definedName function="false" hidden="true" localSheetId="0" name="_xlnm._FilterDatabase" vbProcedure="false">'Lead Tracker'!$A$3:$M$28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<sst xmlns="http://schemas.openxmlformats.org/spreadsheetml/2006/main" count="821" uniqueCount="375">
  <si>
    <t xml:space="preserve">MOXIDENT — Dentist Outreach Tracker</t>
  </si>
  <si>
    <t xml:space="preserve">Last updated: March 27, 2026  |  Total Leads: 77</t>
  </si>
  <si>
    <t xml:space="preserve">Dentist</t>
  </si>
  <si>
    <t xml:space="preserve">Practice</t>
  </si>
  <si>
    <t xml:space="preserve">Email</t>
  </si>
  <si>
    <t xml:space="preserve">Phone</t>
  </si>
  <si>
    <t xml:space="preserve">City</t>
  </si>
  <si>
    <t xml:space="preserve">State</t>
  </si>
  <si>
    <t xml:space="preserve">Email Sent</t>
  </si>
  <si>
    <t xml:space="preserve">Status</t>
  </si>
  <si>
    <t xml:space="preserve">Last Contact</t>
  </si>
  <si>
    <t xml:space="preserve">Next Follow-Up</t>
  </si>
  <si>
    <t xml:space="preserve">Days Since Contact</t>
  </si>
  <si>
    <t xml:space="preserve">Follow-Up Due?</t>
  </si>
  <si>
    <t xml:space="preserve">Response Notes</t>
  </si>
  <si>
    <t xml:space="preserve">Dr. Gan</t>
  </si>
  <si>
    <t xml:space="preserve">Genuine Smiles Family Dentistry</t>
  </si>
  <si>
    <t xml:space="preserve">jade@genuine-smiles.com</t>
  </si>
  <si>
    <t xml:space="preserve">+1 425-367-0303</t>
  </si>
  <si>
    <t xml:space="preserve">Everett</t>
  </si>
  <si>
    <t xml:space="preserve">WA</t>
  </si>
  <si>
    <t xml:space="preserve">03/27/2026</t>
  </si>
  <si>
    <t xml:space="preserve">Sent — Awaiting Reply</t>
  </si>
  <si>
    <t xml:space="preserve">03/30/2026</t>
  </si>
  <si>
    <t xml:space="preserve">Dr. Vuong</t>
  </si>
  <si>
    <t xml:space="preserve">All Smiles NW</t>
  </si>
  <si>
    <t xml:space="preserve">anthony.vuong@heartland.com</t>
  </si>
  <si>
    <t xml:space="preserve">+1 425-252-9333</t>
  </si>
  <si>
    <t xml:space="preserve">Dr. Chen</t>
  </si>
  <si>
    <t xml:space="preserve">Pine Lake Family Dentistry</t>
  </si>
  <si>
    <t xml:space="preserve">drchen@pinelakefamilydentistry.com</t>
  </si>
  <si>
    <t xml:space="preserve">Sammamish</t>
  </si>
  <si>
    <t xml:space="preserve">Dr. Nelson-Glickman</t>
  </si>
  <si>
    <t xml:space="preserve">Caron Nelson Glickman, DDS</t>
  </si>
  <si>
    <t xml:space="preserve">drcaron@great-smile.com</t>
  </si>
  <si>
    <t xml:space="preserve">Duvall</t>
  </si>
  <si>
    <t xml:space="preserve">Dr. Wicklund</t>
  </si>
  <si>
    <t xml:space="preserve">WICKLUND DENTAL</t>
  </si>
  <si>
    <t xml:space="preserve">dr.wicklund@wicklunddental.com</t>
  </si>
  <si>
    <t xml:space="preserve">Bainbridge Island</t>
  </si>
  <si>
    <t xml:space="preserve">Dr. Lightner</t>
  </si>
  <si>
    <t xml:space="preserve">Thomas Dentistry</t>
  </si>
  <si>
    <t xml:space="preserve">lightner@thomas-dentistry.com</t>
  </si>
  <si>
    <t xml:space="preserve">+1 425-821-2526</t>
  </si>
  <si>
    <t xml:space="preserve">Kirkland</t>
  </si>
  <si>
    <t xml:space="preserve">Dr. Kim</t>
  </si>
  <si>
    <t xml:space="preserve">Christy A. Kim, D.D.S., P.L.L.C.</t>
  </si>
  <si>
    <t xml:space="preserve">christykim@yourbellevuedentist.com</t>
  </si>
  <si>
    <t xml:space="preserve">+1 425-883-3800</t>
  </si>
  <si>
    <t xml:space="preserve">Bellevue</t>
  </si>
  <si>
    <t xml:space="preserve">Dr. Krumly</t>
  </si>
  <si>
    <t xml:space="preserve">Krumly Dental Care</t>
  </si>
  <si>
    <t xml:space="preserve">dr.krumly@krumlydentalcare.com</t>
  </si>
  <si>
    <t xml:space="preserve">+1 206-557-4522</t>
  </si>
  <si>
    <t xml:space="preserve">Seattle</t>
  </si>
  <si>
    <t xml:space="preserve">Dr. Woo</t>
  </si>
  <si>
    <t xml:space="preserve">W Dentistry</t>
  </si>
  <si>
    <t xml:space="preserve">drkariwoo@w-dentistry.com</t>
  </si>
  <si>
    <t xml:space="preserve">+1 586-480-2256</t>
  </si>
  <si>
    <t xml:space="preserve">Issaquah</t>
  </si>
  <si>
    <t xml:space="preserve">Dr. Kelley</t>
  </si>
  <si>
    <t xml:space="preserve">Kelley Family Dentistry</t>
  </si>
  <si>
    <t xml:space="preserve">matthew@kelleyfamilydentistry.com</t>
  </si>
  <si>
    <t xml:space="preserve">+1 425-771-3505</t>
  </si>
  <si>
    <t xml:space="preserve">Mountlake Terrace</t>
  </si>
  <si>
    <t xml:space="preserve">Dr. Bauer</t>
  </si>
  <si>
    <t xml:space="preserve">Family Dental Care of Bellevue</t>
  </si>
  <si>
    <t xml:space="preserve">dr.bauer@familydentalcareofbellevue.com</t>
  </si>
  <si>
    <t xml:space="preserve">+1 425-643-5778</t>
  </si>
  <si>
    <t xml:space="preserve">Dr. Wagar</t>
  </si>
  <si>
    <t xml:space="preserve">Benson Hill Smiles</t>
  </si>
  <si>
    <t xml:space="preserve">drwagar@bensonhillsmiles.com</t>
  </si>
  <si>
    <t xml:space="preserve">Renton</t>
  </si>
  <si>
    <t xml:space="preserve">Dr. Hwang</t>
  </si>
  <si>
    <t xml:space="preserve">Creo Dentistry</t>
  </si>
  <si>
    <t xml:space="preserve">dan@creodentistry.com</t>
  </si>
  <si>
    <t xml:space="preserve">+1 360-502-7217</t>
  </si>
  <si>
    <t xml:space="preserve">Marysville</t>
  </si>
  <si>
    <t xml:space="preserve">Dr. Caldier</t>
  </si>
  <si>
    <t xml:space="preserve">Golden Age Dentistry</t>
  </si>
  <si>
    <t xml:space="preserve">michelle@michellecaldier.com</t>
  </si>
  <si>
    <t xml:space="preserve">Riverside</t>
  </si>
  <si>
    <t xml:space="preserve">Dr. Ament</t>
  </si>
  <si>
    <t xml:space="preserve">Michelle J. Ament DDS Bothell Family Dentistry</t>
  </si>
  <si>
    <t xml:space="preserve">drament@bothellfamilydentistry.com</t>
  </si>
  <si>
    <t xml:space="preserve">+1 425-486-2787</t>
  </si>
  <si>
    <t xml:space="preserve">Bothell</t>
  </si>
  <si>
    <t xml:space="preserve">Dr. Furman</t>
  </si>
  <si>
    <t xml:space="preserve">All Smiles Family Dentistry</t>
  </si>
  <si>
    <t xml:space="preserve">ilona@asfamilydentistry.com</t>
  </si>
  <si>
    <t xml:space="preserve">+1 931-553-6959</t>
  </si>
  <si>
    <t xml:space="preserve">Clarksville</t>
  </si>
  <si>
    <t xml:space="preserve">Dr. Kitts</t>
  </si>
  <si>
    <t xml:space="preserve">Soundview Family Dental</t>
  </si>
  <si>
    <t xml:space="preserve">yana@soundviewfamilydental.com</t>
  </si>
  <si>
    <t xml:space="preserve">+1 425-563-6360</t>
  </si>
  <si>
    <t xml:space="preserve">Edmonds</t>
  </si>
  <si>
    <t xml:space="preserve">Dr. Gerlach</t>
  </si>
  <si>
    <t xml:space="preserve">Bellevue Pediatric Dentistry</t>
  </si>
  <si>
    <t xml:space="preserve">nolan@kidsdentistofbellevue.com</t>
  </si>
  <si>
    <t xml:space="preserve">+1 425-614-3777</t>
  </si>
  <si>
    <t xml:space="preserve">Dr. Yoon</t>
  </si>
  <si>
    <t xml:space="preserve">Bothell Everett Kids Dentistry</t>
  </si>
  <si>
    <t xml:space="preserve">tae.yoon@bekidsdentistry.com</t>
  </si>
  <si>
    <t xml:space="preserve">+1 425-286-2078</t>
  </si>
  <si>
    <t xml:space="preserve">Dr. Posthuma</t>
  </si>
  <si>
    <t xml:space="preserve">The Tooth Ferry</t>
  </si>
  <si>
    <t xml:space="preserve">kidsonly@toothferrydentistry.com</t>
  </si>
  <si>
    <t xml:space="preserve">Friday Harbor</t>
  </si>
  <si>
    <t xml:space="preserve">Dr. Riley</t>
  </si>
  <si>
    <t xml:space="preserve">Northwest Dental Medicine</t>
  </si>
  <si>
    <t xml:space="preserve">drriley@nwdentalmed.com</t>
  </si>
  <si>
    <t xml:space="preserve">+1 253-845-9507</t>
  </si>
  <si>
    <t xml:space="preserve">Puyallup</t>
  </si>
  <si>
    <t xml:space="preserve">Dr. Minahan</t>
  </si>
  <si>
    <t xml:space="preserve">Minahan Dental</t>
  </si>
  <si>
    <t xml:space="preserve">dral@minahandental.com</t>
  </si>
  <si>
    <t xml:space="preserve">Dr. Rasmussen</t>
  </si>
  <si>
    <t xml:space="preserve">LEIF RASMUSSEN, DDS, PLLC</t>
  </si>
  <si>
    <t xml:space="preserve">lrasmussen@vashondental.com</t>
  </si>
  <si>
    <t xml:space="preserve">Vashon</t>
  </si>
  <si>
    <t xml:space="preserve">Dr. Seuk</t>
  </si>
  <si>
    <t xml:space="preserve">Lake Union Family Dental</t>
  </si>
  <si>
    <t xml:space="preserve">gseuk@lakeunionfamilydental.com</t>
  </si>
  <si>
    <t xml:space="preserve">Dr. Ahn</t>
  </si>
  <si>
    <t xml:space="preserve">Federal Way Modern Dentistry</t>
  </si>
  <si>
    <t xml:space="preserve">jahn@federalwaymoderndentistry.com</t>
  </si>
  <si>
    <t xml:space="preserve">+1 253-432-8942</t>
  </si>
  <si>
    <t xml:space="preserve">Federal Way</t>
  </si>
  <si>
    <t xml:space="preserve">Dr. Lebeau</t>
  </si>
  <si>
    <t xml:space="preserve">Lebeau Dental</t>
  </si>
  <si>
    <t xml:space="preserve">dene@lebeaudental.com</t>
  </si>
  <si>
    <t xml:space="preserve">'+1 425-251-3535</t>
  </si>
  <si>
    <t xml:space="preserve">Dr. Letwin</t>
  </si>
  <si>
    <t xml:space="preserve">Seattle Special Care Dentistry</t>
  </si>
  <si>
    <t xml:space="preserve">nletwin@sscdentistry.com</t>
  </si>
  <si>
    <t xml:space="preserve">'+1 206-524-1600</t>
  </si>
  <si>
    <t xml:space="preserve">Dr. Goyer</t>
  </si>
  <si>
    <t xml:space="preserve">Inland Family Dentistry</t>
  </si>
  <si>
    <t xml:space="preserve">ngoyer@ifdww.com</t>
  </si>
  <si>
    <t xml:space="preserve">Kennewick</t>
  </si>
  <si>
    <t xml:space="preserve">Dr. Sulaiman</t>
  </si>
  <si>
    <t xml:space="preserve">Pacific Prosthodontics</t>
  </si>
  <si>
    <t xml:space="preserve">frankie@pacificprosthodontics.com</t>
  </si>
  <si>
    <t xml:space="preserve">'+1 206-522-5300</t>
  </si>
  <si>
    <t xml:space="preserve">Dr. Trieu</t>
  </si>
  <si>
    <t xml:space="preserve">North Everett Family Dental</t>
  </si>
  <si>
    <t xml:space="preserve">ktrieu@familydentistry.com</t>
  </si>
  <si>
    <t xml:space="preserve">Dr. Hou</t>
  </si>
  <si>
    <t xml:space="preserve">Sound Orthodontics</t>
  </si>
  <si>
    <t xml:space="preserve">drjack@soundorthodontics.com</t>
  </si>
  <si>
    <t xml:space="preserve">'+1 206-935-2414</t>
  </si>
  <si>
    <t xml:space="preserve">Dr. Hasegawa</t>
  </si>
  <si>
    <t xml:space="preserve">Hasegawa Family &amp; Esthetic Dentistry</t>
  </si>
  <si>
    <t xml:space="preserve">p.hasegawa@hasegawadds.com</t>
  </si>
  <si>
    <t xml:space="preserve">Dr. Ness</t>
  </si>
  <si>
    <t xml:space="preserve">Ness Family Dentistry</t>
  </si>
  <si>
    <t xml:space="preserve">shane@shanenessdds.com</t>
  </si>
  <si>
    <t xml:space="preserve">Redmond</t>
  </si>
  <si>
    <t xml:space="preserve">Dr. Magnuson</t>
  </si>
  <si>
    <t xml:space="preserve">Premier Sleep</t>
  </si>
  <si>
    <t xml:space="preserve">drcarrie@premiersleepassociates.com</t>
  </si>
  <si>
    <t xml:space="preserve">'+1 360-979-1537</t>
  </si>
  <si>
    <t xml:space="preserve">Dr. Bickel</t>
  </si>
  <si>
    <t xml:space="preserve">Redmond Art of Dentistry</t>
  </si>
  <si>
    <t xml:space="preserve">dbickel@myredmonddentist.com</t>
  </si>
  <si>
    <t xml:space="preserve">'+1 425-883-1331</t>
  </si>
  <si>
    <t xml:space="preserve">Dr. Becker</t>
  </si>
  <si>
    <t xml:space="preserve">Kids On 1st Dentistry</t>
  </si>
  <si>
    <t xml:space="preserve">mbecker@kidson1st.com</t>
  </si>
  <si>
    <t xml:space="preserve">'+1 253-517-7780</t>
  </si>
  <si>
    <t xml:space="preserve">Dr. Sanders</t>
  </si>
  <si>
    <t xml:space="preserve">Sanders Family Dental</t>
  </si>
  <si>
    <t xml:space="preserve">dr.sanders@sandersfamily.dental</t>
  </si>
  <si>
    <t xml:space="preserve">Spokane</t>
  </si>
  <si>
    <t xml:space="preserve">Dr. Moss</t>
  </si>
  <si>
    <t xml:space="preserve">Cooper Moss Advanced Dentistry</t>
  </si>
  <si>
    <t xml:space="preserve">drjmoss@olympiaadvanceddentistry.com</t>
  </si>
  <si>
    <t xml:space="preserve">'+1 360-357-8075</t>
  </si>
  <si>
    <t xml:space="preserve">Olympia</t>
  </si>
  <si>
    <t xml:space="preserve">Dr. Tobler</t>
  </si>
  <si>
    <t xml:space="preserve">Ballard Dental Arts</t>
  </si>
  <si>
    <t xml:space="preserve">drtobler@ballarddentalarts.com</t>
  </si>
  <si>
    <t xml:space="preserve">'+1 206-784-3740</t>
  </si>
  <si>
    <t xml:space="preserve">Dr. Simonds</t>
  </si>
  <si>
    <t xml:space="preserve">Liberty Lake Dental Care</t>
  </si>
  <si>
    <t xml:space="preserve">ross@drsimonds.com</t>
  </si>
  <si>
    <t xml:space="preserve">'+1 509-893-1119</t>
  </si>
  <si>
    <t xml:space="preserve">Liberty Lake</t>
  </si>
  <si>
    <t xml:space="preserve">Dr. McDonald</t>
  </si>
  <si>
    <t xml:space="preserve">A Kids Place Dentistry for Children</t>
  </si>
  <si>
    <t xml:space="preserve">drmcdonald@akidsplacedentistry.com</t>
  </si>
  <si>
    <t xml:space="preserve">Dr. Iversen</t>
  </si>
  <si>
    <t xml:space="preserve">Junction Dental</t>
  </si>
  <si>
    <t xml:space="preserve">peteiversen@junction-dental.com</t>
  </si>
  <si>
    <t xml:space="preserve">'+1 206-935-5522</t>
  </si>
  <si>
    <t xml:space="preserve">Dr. Giswold</t>
  </si>
  <si>
    <t xml:space="preserve">Saratoga Dental</t>
  </si>
  <si>
    <t xml:space="preserve">drbradengiswold@saratoga-dental.com</t>
  </si>
  <si>
    <t xml:space="preserve">'+1 360-221-6373</t>
  </si>
  <si>
    <t xml:space="preserve">Langley</t>
  </si>
  <si>
    <t xml:space="preserve">Dr. Parmar</t>
  </si>
  <si>
    <t xml:space="preserve">Rewards Dental</t>
  </si>
  <si>
    <t xml:space="preserve">burien@rewardsdental.com</t>
  </si>
  <si>
    <t xml:space="preserve">'+1 206-343-0000</t>
  </si>
  <si>
    <t xml:space="preserve">Dr. Su</t>
  </si>
  <si>
    <t xml:space="preserve">Redmond Kids Dentistry</t>
  </si>
  <si>
    <t xml:space="preserve">drsteph@redmondkidsdentistry.com</t>
  </si>
  <si>
    <t xml:space="preserve">Dr. Cooley</t>
  </si>
  <si>
    <t xml:space="preserve">Cooleysmiles</t>
  </si>
  <si>
    <t xml:space="preserve">aaron@cooleysmiles.com</t>
  </si>
  <si>
    <t xml:space="preserve">'+1 425-998-6998</t>
  </si>
  <si>
    <t xml:space="preserve">Dr. Velis</t>
  </si>
  <si>
    <t xml:space="preserve">Velis Family Dental Care</t>
  </si>
  <si>
    <t xml:space="preserve">nick@velisdental.com</t>
  </si>
  <si>
    <t xml:space="preserve">'+1 509-924-8200</t>
  </si>
  <si>
    <t xml:space="preserve">Dr. Tomala</t>
  </si>
  <si>
    <t xml:space="preserve">Burien Endodontics</t>
  </si>
  <si>
    <t xml:space="preserve">matthew@burienendo.com</t>
  </si>
  <si>
    <t xml:space="preserve">Dr. Fraker</t>
  </si>
  <si>
    <t xml:space="preserve">Green Lake Dental Care</t>
  </si>
  <si>
    <t xml:space="preserve">sarah@greenlakedentalcare.com</t>
  </si>
  <si>
    <t xml:space="preserve">'+1 206-525-4994</t>
  </si>
  <si>
    <t xml:space="preserve">Dr. Ohara</t>
  </si>
  <si>
    <t xml:space="preserve">Edmonds Orthodontics</t>
  </si>
  <si>
    <t xml:space="preserve">drohara@edmondsorthodontics.com</t>
  </si>
  <si>
    <t xml:space="preserve">'+1 425-977-2505</t>
  </si>
  <si>
    <t xml:space="preserve">Dr. Finnessy</t>
  </si>
  <si>
    <t xml:space="preserve">Bellevue Dental Health</t>
  </si>
  <si>
    <t xml:space="preserve">drlibbi@bellevuedentalhealth.com</t>
  </si>
  <si>
    <t xml:space="preserve">'+1 425-641-3311</t>
  </si>
  <si>
    <t xml:space="preserve">Dr. Hoang</t>
  </si>
  <si>
    <t xml:space="preserve">CHC OF SNOHOMISH COUNTY 112TH DENTAL</t>
  </si>
  <si>
    <t xml:space="preserve">nhoang@chcsno.org</t>
  </si>
  <si>
    <t xml:space="preserve">Dr. Jun</t>
  </si>
  <si>
    <t xml:space="preserve">Mint Kids Dentistry</t>
  </si>
  <si>
    <t xml:space="preserve">soojun@mintkidsdentistry.com</t>
  </si>
  <si>
    <t xml:space="preserve">'+1 425-321-0833</t>
  </si>
  <si>
    <t xml:space="preserve">Dr. Kang</t>
  </si>
  <si>
    <t xml:space="preserve">Endodontics Seattle</t>
  </si>
  <si>
    <t xml:space="preserve">mkang@endodonticsseattle.com</t>
  </si>
  <si>
    <t xml:space="preserve">'+1 206-624-8313</t>
  </si>
  <si>
    <t xml:space="preserve">Dr. Nguyen</t>
  </si>
  <si>
    <t xml:space="preserve">Southcenter Modern Dentistry</t>
  </si>
  <si>
    <t xml:space="preserve">smile@southcentermoderndentistry.com</t>
  </si>
  <si>
    <t xml:space="preserve">'+1 253-395-5555</t>
  </si>
  <si>
    <t xml:space="preserve">Dr. Sorensen</t>
  </si>
  <si>
    <t xml:space="preserve">Sorensen Orthodontics</t>
  </si>
  <si>
    <t xml:space="preserve">drsorensen@sorensenortho.com</t>
  </si>
  <si>
    <t xml:space="preserve">'+1 206-937-6089</t>
  </si>
  <si>
    <t xml:space="preserve">Jen Kim Family &amp; Cosmetic Dentistry</t>
  </si>
  <si>
    <t xml:space="preserve">drkim@jenkimdentistry.com</t>
  </si>
  <si>
    <t xml:space="preserve">'+1 425-284-4450</t>
  </si>
  <si>
    <t xml:space="preserve">Dr. Ludena</t>
  </si>
  <si>
    <t xml:space="preserve">kludena@greenlakedentalcare.com</t>
  </si>
  <si>
    <t xml:space="preserve">Everyone By One</t>
  </si>
  <si>
    <t xml:space="preserve">sjk@everyonebyone.com</t>
  </si>
  <si>
    <t xml:space="preserve">'+1 425-289-1918</t>
  </si>
  <si>
    <t xml:space="preserve">Dr. Bushman</t>
  </si>
  <si>
    <t xml:space="preserve">Spokane Family Dental</t>
  </si>
  <si>
    <t xml:space="preserve">ryan@spokanefamilydental.com</t>
  </si>
  <si>
    <t xml:space="preserve">'+1 509-924-0381</t>
  </si>
  <si>
    <t xml:space="preserve">Dr. Roos</t>
  </si>
  <si>
    <t xml:space="preserve">Roos Orthodontics</t>
  </si>
  <si>
    <t xml:space="preserve">drroos@roosortho.com</t>
  </si>
  <si>
    <t xml:space="preserve">'+1 425-885-1642</t>
  </si>
  <si>
    <t xml:space="preserve">Dr. Studeny</t>
  </si>
  <si>
    <t xml:space="preserve">Aesthetic Smiles</t>
  </si>
  <si>
    <t xml:space="preserve">mark@southcenterdds.com</t>
  </si>
  <si>
    <t xml:space="preserve">'+1 425-656-9025</t>
  </si>
  <si>
    <t xml:space="preserve">Dr. Dental</t>
  </si>
  <si>
    <t xml:space="preserve">Spektor Dental Center</t>
  </si>
  <si>
    <t xml:space="preserve">brittanne@spektordental.com</t>
  </si>
  <si>
    <t xml:space="preserve">Dr. Goldberg</t>
  </si>
  <si>
    <t xml:space="preserve">Lynnwood Kids Dentist</t>
  </si>
  <si>
    <t xml:space="preserve">dr.goldberg@kidsdentist.com</t>
  </si>
  <si>
    <t xml:space="preserve">'+1 425-774-1285</t>
  </si>
  <si>
    <t xml:space="preserve">Dr. Korsmo</t>
  </si>
  <si>
    <t xml:space="preserve">Puyallup Family Dental</t>
  </si>
  <si>
    <t xml:space="preserve">lars.korsmo@puyallupparkdental.com</t>
  </si>
  <si>
    <t xml:space="preserve">'+1 253-770-0529</t>
  </si>
  <si>
    <t xml:space="preserve">Tacoma</t>
  </si>
  <si>
    <t xml:space="preserve">Dr. Lee</t>
  </si>
  <si>
    <t xml:space="preserve">Greenlake Family Dentistry</t>
  </si>
  <si>
    <t xml:space="preserve">rachel@greenlakefamilydentistry.biz</t>
  </si>
  <si>
    <t xml:space="preserve">'+1 206-633-3686</t>
  </si>
  <si>
    <t xml:space="preserve">Dr. Klingel</t>
  </si>
  <si>
    <t xml:space="preserve">DESERT SUN DENTAL</t>
  </si>
  <si>
    <t xml:space="preserve">drgreg@desertsundental.com</t>
  </si>
  <si>
    <t xml:space="preserve">'+1 509-785-6491</t>
  </si>
  <si>
    <t xml:space="preserve">Quincy</t>
  </si>
  <si>
    <t xml:space="preserve">Dr. Tran</t>
  </si>
  <si>
    <t xml:space="preserve">NORMAN BOLOSAN, DDS, PC</t>
  </si>
  <si>
    <t xml:space="preserve">stran@bolodent.com</t>
  </si>
  <si>
    <t xml:space="preserve">'+1 425-486-7764</t>
  </si>
  <si>
    <t xml:space="preserve">Dr. Thomas</t>
  </si>
  <si>
    <t xml:space="preserve">troy@thomas-dentistry.com</t>
  </si>
  <si>
    <t xml:space="preserve">'+1 425-821-2526</t>
  </si>
  <si>
    <t xml:space="preserve">Dr. Linsenmayer</t>
  </si>
  <si>
    <t xml:space="preserve">SEATTLE KIDS DENTISTRY</t>
  </si>
  <si>
    <t xml:space="preserve">kristi.linsenmayer@seattlekidsdentistry.com</t>
  </si>
  <si>
    <t xml:space="preserve">'+1 206-743-8660</t>
  </si>
  <si>
    <t xml:space="preserve">Dr. Cohenca</t>
  </si>
  <si>
    <t xml:space="preserve">INTERNATIONAL ASSOCIATION OF DENTAL TRAUMATOLOGY</t>
  </si>
  <si>
    <t xml:space="preserve">nestor@prime-endodontics.com</t>
  </si>
  <si>
    <t xml:space="preserve">'+1 858-272-1018</t>
  </si>
  <si>
    <t xml:space="preserve">Dr. Waldbaum</t>
  </si>
  <si>
    <t xml:space="preserve">Toni Calvo-Waldbaum, DDS</t>
  </si>
  <si>
    <t xml:space="preserve">toni@tonicalvowaldbaum.com</t>
  </si>
  <si>
    <t xml:space="preserve">Dr. Chilton</t>
  </si>
  <si>
    <t xml:space="preserve">St. Anne (Highline Medical Center)</t>
  </si>
  <si>
    <t xml:space="preserve">drpaul@olympicviewdental.com</t>
  </si>
  <si>
    <t xml:space="preserve">'+1 888-825-3227</t>
  </si>
  <si>
    <t xml:space="preserve">Dr. Johnson</t>
  </si>
  <si>
    <t xml:space="preserve">bartj@sscdentistry.com</t>
  </si>
  <si>
    <t xml:space="preserve">Dr. Amato</t>
  </si>
  <si>
    <t xml:space="preserve">Amato Dental Group</t>
  </si>
  <si>
    <t xml:space="preserve">dramato@amatodentalgroup.com</t>
  </si>
  <si>
    <t xml:space="preserve">'+1 206-626-5400</t>
  </si>
  <si>
    <t xml:space="preserve">Dr. O'Donnell</t>
  </si>
  <si>
    <t xml:space="preserve">Maple Valley Family Dental Care</t>
  </si>
  <si>
    <t xml:space="preserve">rodonnell@maplevalleysmiles.com</t>
  </si>
  <si>
    <t xml:space="preserve">'+1 425-413-8525</t>
  </si>
  <si>
    <t xml:space="preserve">Dr. Face</t>
  </si>
  <si>
    <t xml:space="preserve">North Seattle Dental</t>
  </si>
  <si>
    <t xml:space="preserve">sface@northseattledental.com</t>
  </si>
  <si>
    <t xml:space="preserve">'+1 206-524-1000</t>
  </si>
  <si>
    <t xml:space="preserve">MOXIDENT — Outreach Dashboard</t>
  </si>
  <si>
    <t xml:space="preserve">Total Leads</t>
  </si>
  <si>
    <t xml:space="preserve">Awaiting Reply</t>
  </si>
  <si>
    <t xml:space="preserve">Interested</t>
  </si>
  <si>
    <t xml:space="preserve">Meetings Set</t>
  </si>
  <si>
    <t xml:space="preserve">Onboarded</t>
  </si>
  <si>
    <t xml:space="preserve">Follow-Ups Due</t>
  </si>
  <si>
    <t xml:space="preserve">Pipeline Breakdown</t>
  </si>
  <si>
    <t xml:space="preserve">Count</t>
  </si>
  <si>
    <t xml:space="preserve">% of Total</t>
  </si>
  <si>
    <t xml:space="preserve">Follow-Up Sent</t>
  </si>
  <si>
    <t xml:space="preserve">Replied — Interested</t>
  </si>
  <si>
    <t xml:space="preserve">Replied — Not Interested</t>
  </si>
  <si>
    <t xml:space="preserve">Meeting Scheduled</t>
  </si>
  <si>
    <t xml:space="preserve">No Response</t>
  </si>
  <si>
    <t xml:space="preserve">Bounced</t>
  </si>
  <si>
    <t xml:space="preserve">Response Rate</t>
  </si>
  <si>
    <t xml:space="preserve">Follow-Up Cadence Guide</t>
  </si>
  <si>
    <t xml:space="preserve">Touchpoint</t>
  </si>
  <si>
    <t xml:space="preserve">Timing</t>
  </si>
  <si>
    <t xml:space="preserve">Channel</t>
  </si>
  <si>
    <t xml:space="preserve">Action</t>
  </si>
  <si>
    <t xml:space="preserve">1st Email</t>
  </si>
  <si>
    <t xml:space="preserve">Day 0</t>
  </si>
  <si>
    <t xml:space="preserve">Send initial outreach (done via drafts)</t>
  </si>
  <si>
    <t xml:space="preserve">2nd Email</t>
  </si>
  <si>
    <t xml:space="preserve">Day 3</t>
  </si>
  <si>
    <t xml:space="preserve">Gentle follow-up — reference first email</t>
  </si>
  <si>
    <t xml:space="preserve">3rd Email</t>
  </si>
  <si>
    <t xml:space="preserve">Day 7</t>
  </si>
  <si>
    <t xml:space="preserve">Add value — share a quick stat or insight</t>
  </si>
  <si>
    <t xml:space="preserve">Phone Call</t>
  </si>
  <si>
    <t xml:space="preserve">Day 10</t>
  </si>
  <si>
    <t xml:space="preserve">Quick call — introduce yourself, reference emails</t>
  </si>
  <si>
    <t xml:space="preserve">4th Email</t>
  </si>
  <si>
    <t xml:space="preserve">Day 14</t>
  </si>
  <si>
    <t xml:space="preserve">Final follow-up — leave door open</t>
  </si>
  <si>
    <t xml:space="preserve">Mark Cold</t>
  </si>
  <si>
    <t xml:space="preserve">Day 21</t>
  </si>
  <si>
    <t xml:space="preserve">—</t>
  </si>
  <si>
    <t xml:space="preserve">If no response, mark as No Response</t>
  </si>
  <si>
    <t xml:space="preserve">Follow-Up Email Templates</t>
  </si>
  <si>
    <t xml:space="preserve">Follow-Up #1 (Day 3)</t>
  </si>
  <si>
    <t xml:space="preserve">Subject: re: quick question
Hi Dr. [Name],
Just circling back — I had another emergency patient situation yesterday and it reminded me to follow up.
Would your office be open to receiving same-day emergency referrals when you have availability?
No cost unless the patient shows.
Allen Hafezipour
Founder, Moxident
(425) 403-6723</t>
  </si>
  <si>
    <t xml:space="preserve">Follow-Up #2 (Day 7)</t>
  </si>
  <si>
    <t xml:space="preserve">Subject: quick stat for your area
Hi Dr. [Name],
On average, we're seeing 3-4 emergency patients per week in your area who can't find same-day care.
I'm building a small network of clinics to route these patients to. Would you be open to a quick conversation about how it works?
moxident.com/dentist/survey
Allen Hafezipour
Founder, Moxident
(425) 403-6723</t>
  </si>
  <si>
    <t xml:space="preserve">Final Follow-Up (Day 14)</t>
  </si>
  <si>
    <t xml:space="preserve">Subject: last note from me
Hi Dr. [Name],
I know you're busy so I'll keep this short — I won't follow up again, but if you ever want to receive same-day emergency patient referrals, the door is always open.
moxident.com/dentist/survey
Allen Hafezipour
Founder, Moxident
(425) 403-6723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</si>
</sst>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0.0%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B0B8C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9"/>
      <color rgb="FF666666"/>
      <name val="Arial"/>
      <family val="0"/>
      <charset val="1"/>
    </font>
    <font>
      <b val="true"/>
      <sz val="28"/>
      <color rgb="FF4A90D9"/>
      <name val="Arial"/>
      <family val="0"/>
      <charset val="1"/>
    </font>
    <font>
      <b val="true"/>
      <sz val="28"/>
      <color rgb="FFF39C12"/>
      <name val="Arial"/>
      <family val="0"/>
      <charset val="1"/>
    </font>
    <font>
      <b val="true"/>
      <sz val="28"/>
      <color rgb="FF27AE60"/>
      <name val="Arial"/>
      <family val="0"/>
      <charset val="1"/>
    </font>
    <font>
      <b val="true"/>
      <sz val="28"/>
      <color rgb="FF2ECC71"/>
      <name val="Arial"/>
      <family val="0"/>
      <charset val="1"/>
    </font>
    <font>
      <b val="true"/>
      <sz val="28"/>
      <color rgb="FFE74C3C"/>
      <name val="Arial"/>
      <family val="0"/>
      <charset val="1"/>
    </font>
    <font>
      <b val="true"/>
      <sz val="12"/>
      <color rgb="FF1B2A4A"/>
      <name val="Arial"/>
      <family val="0"/>
      <charset val="1"/>
    </font>
    <font>
      <b val="true"/>
      <sz val="10"/>
      <color rgb="FF666666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27AE6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4A90D9"/>
      <name val="Arial"/>
      <family val="0"/>
      <charset val="1"/>
    </font>
    <font>
      <sz val="9"/>
      <color rgb="FF444444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B2A4A"/>
        <bgColor rgb="FF333333"/>
      </patternFill>
    </fill>
    <fill>
      <patternFill patternType="solid">
        <fgColor rgb="FF2C3E6B"/>
        <bgColor rgb="FF444444"/>
      </patternFill>
    </fill>
    <fill>
      <patternFill patternType="solid">
        <fgColor rgb="FF4A90D9"/>
        <bgColor rgb="FF808080"/>
      </patternFill>
    </fill>
    <fill>
      <patternFill patternType="solid">
        <fgColor rgb="FFF5F6FA"/>
        <bgColor rgb="FFFFFFFF"/>
      </patternFill>
    </fill>
    <fill>
      <patternFill patternType="solid">
        <fgColor rgb="FFFFFFFF"/>
        <bgColor rgb="FFF5F6FA"/>
      </patternFill>
    </fill>
    <fill>
      <patternFill patternType="solid">
        <fgColor rgb="FFF39C12"/>
        <bgColor rgb="FFE67E22"/>
      </patternFill>
    </fill>
    <fill>
      <patternFill patternType="solid">
        <fgColor rgb="FF27AE60"/>
        <bgColor rgb="FF2ECC71"/>
      </patternFill>
    </fill>
    <fill>
      <patternFill patternType="solid">
        <fgColor rgb="FF2ECC71"/>
        <bgColor rgb="FF27AE60"/>
      </patternFill>
    </fill>
    <fill>
      <patternFill patternType="solid">
        <fgColor rgb="FFE74C3C"/>
        <bgColor rgb="FFE67E2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3DA"/>
      </left>
      <right style="thin">
        <color rgb="FFD0D3DA"/>
      </right>
      <top style="thin">
        <color rgb="FFD0D3DA"/>
      </top>
      <bottom style="thin">
        <color rgb="FFD0D3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5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B2A4A"/>
          <bgColor rgb="FF000000"/>
        </patternFill>
      </fill>
    </dxf>
    <dxf>
      <fill>
        <patternFill patternType="solid">
          <fgColor rgb="FF2C3E6B"/>
          <bgColor rgb="FF000000"/>
        </patternFill>
      </fill>
    </dxf>
    <dxf>
      <fill>
        <patternFill patternType="solid">
          <fgColor rgb="FF4A90D9"/>
          <bgColor rgb="FF000000"/>
        </patternFill>
      </fill>
    </dxf>
    <dxf>
      <fill>
        <patternFill patternType="solid">
          <fgColor rgb="FFF5F6F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006100"/>
      </font>
      <fill>
        <patternFill>
          <bgColor rgb="FFA9D18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7F6003"/>
      </font>
      <fill>
        <patternFill>
          <bgColor rgb="FFFFF2CC"/>
        </patternFill>
      </fill>
    </dxf>
    <dxf>
      <font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3"/>
      <rgbColor rgb="FF800080"/>
      <rgbColor rgb="FF008080"/>
      <rgbColor rgb="FFB0B8C8"/>
      <rgbColor rgb="FF808080"/>
      <rgbColor rgb="FF9999FF"/>
      <rgbColor rgb="FF993366"/>
      <rgbColor rgb="FFFFF2CC"/>
      <rgbColor rgb="FFF5F6FA"/>
      <rgbColor rgb="FF660066"/>
      <rgbColor rgb="FFE74C3C"/>
      <rgbColor rgb="FF0066CC"/>
      <rgbColor rgb="FFD0D3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A9D18E"/>
      <rgbColor rgb="FFFF99CC"/>
      <rgbColor rgb="FFCC99FF"/>
      <rgbColor rgb="FFFFC7CE"/>
      <rgbColor rgb="FF4A90D9"/>
      <rgbColor rgb="FF2ECC71"/>
      <rgbColor rgb="FF99CC00"/>
      <rgbColor rgb="FFFFCC00"/>
      <rgbColor rgb="FFF39C12"/>
      <rgbColor rgb="FFE67E22"/>
      <rgbColor rgb="FF666666"/>
      <rgbColor rgb="FF969696"/>
      <rgbColor rgb="FF1B2A4A"/>
      <rgbColor rgb="FF27AE60"/>
      <rgbColor rgb="FF003300"/>
      <rgbColor rgb="FF444444"/>
      <rgbColor rgb="FF993300"/>
      <rgbColor rgb="FF993366"/>
      <rgbColor rgb="FF2C3E6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90D9"/>
    <pageSetUpPr fitToPage="false"/>
  </sheetPr>
  <dimension ref="A1:M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2"/>
    <col collapsed="false" customWidth="true" hidden="false" outlineLevel="0" max="3" min="3" style="1" width="34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10"/>
    <col collapsed="false" customWidth="true" hidden="false" outlineLevel="0" max="7" min="7" style="1" width="12"/>
    <col collapsed="false" customWidth="true" hidden="false" outlineLevel="0" max="8" min="8" style="1" width="16"/>
    <col collapsed="false" customWidth="true" hidden="false" outlineLevel="0" max="10" min="9" style="1" width="14"/>
    <col collapsed="false" customWidth="true" hidden="false" outlineLevel="0" max="11" min="11" style="1" width="16"/>
    <col collapsed="false" customWidth="true" hidden="false" outlineLevel="0" max="12" min="12" style="1" width="14"/>
    <col collapsed="false" customWidth="true" hidden="false" outlineLevel="0" max="13" min="13" style="1" width="36"/>
  </cols>
  <sheetData>
    <row r="1" customFormat="false" ht="42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27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31.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</row>
    <row r="4" customFormat="false" ht="15" hidden="false" customHeight="true" outlineLevel="0" collapsed="false">
      <c r="A4" s="5" t="s">
        <v>15</v>
      </c>
      <c r="B4" s="5" t="s">
        <v>16</v>
      </c>
      <c r="C4" s="5" t="s">
        <v>17</v>
      </c>
      <c r="D4" s="5" t="s">
        <v>18</v>
      </c>
      <c r="E4" s="5" t="s">
        <v>19</v>
      </c>
      <c r="F4" s="5" t="s">
        <v>20</v>
      </c>
      <c r="G4" s="6" t="s">
        <v>21</v>
      </c>
      <c r="H4" s="7" t="s">
        <v>22</v>
      </c>
      <c r="I4" s="6" t="s">
        <v>21</v>
      </c>
      <c r="J4" s="6" t="s">
        <v>23</v>
      </c>
      <c r="K4" s="7" t="n">
        <f aca="true">IF(I4="","",TODAY()-I4)</f>
        <v>0</v>
      </c>
      <c r="L4" s="7" t="str">
        <f aca="true">IF(J4="","",IF(TODAY()&gt;=J4,"YES","No"))</f>
        <v>No</v>
      </c>
      <c r="M4" s="5"/>
    </row>
    <row r="5" customFormat="false" ht="15" hidden="false" customHeight="true" outlineLevel="0" collapsed="false">
      <c r="A5" s="8" t="s">
        <v>24</v>
      </c>
      <c r="B5" s="8" t="s">
        <v>25</v>
      </c>
      <c r="C5" s="8" t="s">
        <v>26</v>
      </c>
      <c r="D5" s="8" t="s">
        <v>27</v>
      </c>
      <c r="E5" s="8" t="s">
        <v>19</v>
      </c>
      <c r="F5" s="8" t="s">
        <v>20</v>
      </c>
      <c r="G5" s="9" t="s">
        <v>21</v>
      </c>
      <c r="H5" s="10" t="s">
        <v>22</v>
      </c>
      <c r="I5" s="9" t="s">
        <v>21</v>
      </c>
      <c r="J5" s="9" t="s">
        <v>23</v>
      </c>
      <c r="K5" s="10" t="n">
        <f aca="true">IF(I5="","",TODAY()-I5)</f>
        <v>0</v>
      </c>
      <c r="L5" s="10" t="str">
        <f aca="true">IF(J5="","",IF(TODAY()&gt;=J5,"YES","No"))</f>
        <v>No</v>
      </c>
      <c r="M5" s="8"/>
    </row>
    <row r="6" customFormat="false" ht="15" hidden="false" customHeight="true" outlineLevel="0" collapsed="false">
      <c r="A6" s="5" t="s">
        <v>28</v>
      </c>
      <c r="B6" s="5" t="s">
        <v>29</v>
      </c>
      <c r="C6" s="5" t="s">
        <v>30</v>
      </c>
      <c r="D6" s="5"/>
      <c r="E6" s="5" t="s">
        <v>31</v>
      </c>
      <c r="F6" s="5" t="s">
        <v>20</v>
      </c>
      <c r="G6" s="6" t="s">
        <v>21</v>
      </c>
      <c r="H6" s="7" t="s">
        <v>22</v>
      </c>
      <c r="I6" s="6" t="s">
        <v>21</v>
      </c>
      <c r="J6" s="6" t="s">
        <v>23</v>
      </c>
      <c r="K6" s="7" t="n">
        <f aca="true">IF(I6="","",TODAY()-I6)</f>
        <v>0</v>
      </c>
      <c r="L6" s="7" t="str">
        <f aca="true">IF(J6="","",IF(TODAY()&gt;=J6,"YES","No"))</f>
        <v>No</v>
      </c>
      <c r="M6" s="5"/>
    </row>
    <row r="7" customFormat="false" ht="15" hidden="false" customHeight="true" outlineLevel="0" collapsed="false">
      <c r="A7" s="8" t="s">
        <v>32</v>
      </c>
      <c r="B7" s="8" t="s">
        <v>33</v>
      </c>
      <c r="C7" s="8" t="s">
        <v>34</v>
      </c>
      <c r="D7" s="8"/>
      <c r="E7" s="8" t="s">
        <v>35</v>
      </c>
      <c r="F7" s="8" t="s">
        <v>20</v>
      </c>
      <c r="G7" s="9" t="s">
        <v>21</v>
      </c>
      <c r="H7" s="10" t="s">
        <v>22</v>
      </c>
      <c r="I7" s="9" t="s">
        <v>21</v>
      </c>
      <c r="J7" s="9" t="s">
        <v>23</v>
      </c>
      <c r="K7" s="10" t="n">
        <f aca="true">IF(I7="","",TODAY()-I7)</f>
        <v>0</v>
      </c>
      <c r="L7" s="10" t="str">
        <f aca="true">IF(J7="","",IF(TODAY()&gt;=J7,"YES","No"))</f>
        <v>No</v>
      </c>
      <c r="M7" s="8"/>
    </row>
    <row r="8" customFormat="false" ht="15" hidden="false" customHeight="true" outlineLevel="0" collapsed="false">
      <c r="A8" s="5" t="s">
        <v>36</v>
      </c>
      <c r="B8" s="5" t="s">
        <v>37</v>
      </c>
      <c r="C8" s="5" t="s">
        <v>38</v>
      </c>
      <c r="D8" s="5"/>
      <c r="E8" s="5" t="s">
        <v>39</v>
      </c>
      <c r="F8" s="5" t="s">
        <v>20</v>
      </c>
      <c r="G8" s="6" t="s">
        <v>21</v>
      </c>
      <c r="H8" s="7" t="s">
        <v>22</v>
      </c>
      <c r="I8" s="6" t="s">
        <v>21</v>
      </c>
      <c r="J8" s="6" t="s">
        <v>23</v>
      </c>
      <c r="K8" s="7" t="n">
        <f aca="true">IF(I8="","",TODAY()-I8)</f>
        <v>0</v>
      </c>
      <c r="L8" s="7" t="str">
        <f aca="true">IF(J8="","",IF(TODAY()&gt;=J8,"YES","No"))</f>
        <v>No</v>
      </c>
      <c r="M8" s="5"/>
    </row>
    <row r="9" customFormat="false" ht="15" hidden="false" customHeight="true" outlineLevel="0" collapsed="false">
      <c r="A9" s="8" t="s">
        <v>40</v>
      </c>
      <c r="B9" s="8" t="s">
        <v>41</v>
      </c>
      <c r="C9" s="8" t="s">
        <v>42</v>
      </c>
      <c r="D9" s="8" t="s">
        <v>43</v>
      </c>
      <c r="E9" s="8" t="s">
        <v>44</v>
      </c>
      <c r="F9" s="8" t="s">
        <v>20</v>
      </c>
      <c r="G9" s="9" t="s">
        <v>21</v>
      </c>
      <c r="H9" s="10" t="s">
        <v>22</v>
      </c>
      <c r="I9" s="9" t="s">
        <v>21</v>
      </c>
      <c r="J9" s="9" t="s">
        <v>23</v>
      </c>
      <c r="K9" s="10" t="n">
        <f aca="true">IF(I9="","",TODAY()-I9)</f>
        <v>0</v>
      </c>
      <c r="L9" s="10" t="str">
        <f aca="true">IF(J9="","",IF(TODAY()&gt;=J9,"YES","No"))</f>
        <v>No</v>
      </c>
      <c r="M9" s="8"/>
    </row>
    <row r="10" customFormat="false" ht="15" hidden="false" customHeight="true" outlineLevel="0" collapsed="false">
      <c r="A10" s="5" t="s">
        <v>45</v>
      </c>
      <c r="B10" s="5" t="s">
        <v>46</v>
      </c>
      <c r="C10" s="5" t="s">
        <v>47</v>
      </c>
      <c r="D10" s="5" t="s">
        <v>48</v>
      </c>
      <c r="E10" s="5" t="s">
        <v>49</v>
      </c>
      <c r="F10" s="5" t="s">
        <v>20</v>
      </c>
      <c r="G10" s="6" t="s">
        <v>21</v>
      </c>
      <c r="H10" s="7" t="s">
        <v>22</v>
      </c>
      <c r="I10" s="6" t="s">
        <v>21</v>
      </c>
      <c r="J10" s="6" t="s">
        <v>23</v>
      </c>
      <c r="K10" s="7" t="n">
        <f aca="true">IF(I10="","",TODAY()-I10)</f>
        <v>0</v>
      </c>
      <c r="L10" s="7" t="str">
        <f aca="true">IF(J10="","",IF(TODAY()&gt;=J10,"YES","No"))</f>
        <v>No</v>
      </c>
      <c r="M10" s="5"/>
    </row>
    <row r="11" customFormat="false" ht="15" hidden="false" customHeight="true" outlineLevel="0" collapsed="false">
      <c r="A11" s="8" t="s">
        <v>50</v>
      </c>
      <c r="B11" s="8" t="s">
        <v>51</v>
      </c>
      <c r="C11" s="8" t="s">
        <v>52</v>
      </c>
      <c r="D11" s="8" t="s">
        <v>53</v>
      </c>
      <c r="E11" s="8" t="s">
        <v>54</v>
      </c>
      <c r="F11" s="8" t="s">
        <v>20</v>
      </c>
      <c r="G11" s="9" t="s">
        <v>21</v>
      </c>
      <c r="H11" s="10" t="s">
        <v>22</v>
      </c>
      <c r="I11" s="9" t="s">
        <v>21</v>
      </c>
      <c r="J11" s="9" t="s">
        <v>23</v>
      </c>
      <c r="K11" s="10" t="n">
        <f aca="true">IF(I11="","",TODAY()-I11)</f>
        <v>0</v>
      </c>
      <c r="L11" s="10" t="str">
        <f aca="true">IF(J11="","",IF(TODAY()&gt;=J11,"YES","No"))</f>
        <v>No</v>
      </c>
      <c r="M11" s="8"/>
    </row>
    <row r="12" customFormat="false" ht="15" hidden="false" customHeight="true" outlineLevel="0" collapsed="false">
      <c r="A12" s="5" t="s">
        <v>55</v>
      </c>
      <c r="B12" s="5" t="s">
        <v>56</v>
      </c>
      <c r="C12" s="5" t="s">
        <v>57</v>
      </c>
      <c r="D12" s="5" t="s">
        <v>58</v>
      </c>
      <c r="E12" s="5" t="s">
        <v>59</v>
      </c>
      <c r="F12" s="5" t="s">
        <v>20</v>
      </c>
      <c r="G12" s="6" t="s">
        <v>21</v>
      </c>
      <c r="H12" s="7" t="s">
        <v>22</v>
      </c>
      <c r="I12" s="6" t="s">
        <v>21</v>
      </c>
      <c r="J12" s="6" t="s">
        <v>23</v>
      </c>
      <c r="K12" s="7" t="n">
        <f aca="true">IF(I12="","",TODAY()-I12)</f>
        <v>0</v>
      </c>
      <c r="L12" s="7" t="str">
        <f aca="true">IF(J12="","",IF(TODAY()&gt;=J12,"YES","No"))</f>
        <v>No</v>
      </c>
      <c r="M12" s="5"/>
    </row>
    <row r="13" customFormat="false" ht="15" hidden="false" customHeight="true" outlineLevel="0" collapsed="false">
      <c r="A13" s="8" t="s">
        <v>60</v>
      </c>
      <c r="B13" s="8" t="s">
        <v>61</v>
      </c>
      <c r="C13" s="8" t="s">
        <v>62</v>
      </c>
      <c r="D13" s="8" t="s">
        <v>63</v>
      </c>
      <c r="E13" s="8" t="s">
        <v>64</v>
      </c>
      <c r="F13" s="8" t="s">
        <v>20</v>
      </c>
      <c r="G13" s="9" t="s">
        <v>21</v>
      </c>
      <c r="H13" s="10" t="s">
        <v>22</v>
      </c>
      <c r="I13" s="9" t="s">
        <v>21</v>
      </c>
      <c r="J13" s="9" t="s">
        <v>23</v>
      </c>
      <c r="K13" s="10" t="n">
        <f aca="true">IF(I13="","",TODAY()-I13)</f>
        <v>0</v>
      </c>
      <c r="L13" s="10" t="str">
        <f aca="true">IF(J13="","",IF(TODAY()&gt;=J13,"YES","No"))</f>
        <v>No</v>
      </c>
      <c r="M13" s="8"/>
    </row>
    <row r="14" customFormat="false" ht="15" hidden="false" customHeight="true" outlineLevel="0" collapsed="false">
      <c r="A14" s="5" t="s">
        <v>65</v>
      </c>
      <c r="B14" s="5" t="s">
        <v>66</v>
      </c>
      <c r="C14" s="5" t="s">
        <v>67</v>
      </c>
      <c r="D14" s="5" t="s">
        <v>68</v>
      </c>
      <c r="E14" s="5" t="s">
        <v>49</v>
      </c>
      <c r="F14" s="5" t="s">
        <v>20</v>
      </c>
      <c r="G14" s="6" t="s">
        <v>21</v>
      </c>
      <c r="H14" s="7" t="s">
        <v>22</v>
      </c>
      <c r="I14" s="6" t="s">
        <v>21</v>
      </c>
      <c r="J14" s="6" t="s">
        <v>23</v>
      </c>
      <c r="K14" s="7" t="n">
        <f aca="true">IF(I14="","",TODAY()-I14)</f>
        <v>0</v>
      </c>
      <c r="L14" s="7" t="str">
        <f aca="true">IF(J14="","",IF(TODAY()&gt;=J14,"YES","No"))</f>
        <v>No</v>
      </c>
      <c r="M14" s="5"/>
    </row>
    <row r="15" customFormat="false" ht="15" hidden="false" customHeight="true" outlineLevel="0" collapsed="false">
      <c r="A15" s="8" t="s">
        <v>69</v>
      </c>
      <c r="B15" s="8" t="s">
        <v>70</v>
      </c>
      <c r="C15" s="8" t="s">
        <v>71</v>
      </c>
      <c r="D15" s="8"/>
      <c r="E15" s="8" t="s">
        <v>72</v>
      </c>
      <c r="F15" s="8" t="s">
        <v>20</v>
      </c>
      <c r="G15" s="9" t="s">
        <v>21</v>
      </c>
      <c r="H15" s="10" t="s">
        <v>22</v>
      </c>
      <c r="I15" s="9" t="s">
        <v>21</v>
      </c>
      <c r="J15" s="9" t="s">
        <v>23</v>
      </c>
      <c r="K15" s="10" t="n">
        <f aca="true">IF(I15="","",TODAY()-I15)</f>
        <v>0</v>
      </c>
      <c r="L15" s="10" t="str">
        <f aca="true">IF(J15="","",IF(TODAY()&gt;=J15,"YES","No"))</f>
        <v>No</v>
      </c>
      <c r="M15" s="8"/>
    </row>
    <row r="16" customFormat="false" ht="15" hidden="false" customHeight="true" outlineLevel="0" collapsed="false">
      <c r="A16" s="5" t="s">
        <v>73</v>
      </c>
      <c r="B16" s="5" t="s">
        <v>74</v>
      </c>
      <c r="C16" s="5" t="s">
        <v>75</v>
      </c>
      <c r="D16" s="5" t="s">
        <v>76</v>
      </c>
      <c r="E16" s="5" t="s">
        <v>77</v>
      </c>
      <c r="F16" s="5" t="s">
        <v>20</v>
      </c>
      <c r="G16" s="6" t="s">
        <v>21</v>
      </c>
      <c r="H16" s="7" t="s">
        <v>22</v>
      </c>
      <c r="I16" s="6" t="s">
        <v>21</v>
      </c>
      <c r="J16" s="6" t="s">
        <v>23</v>
      </c>
      <c r="K16" s="7" t="n">
        <f aca="true">IF(I16="","",TODAY()-I16)</f>
        <v>0</v>
      </c>
      <c r="L16" s="7" t="str">
        <f aca="true">IF(J16="","",IF(TODAY()&gt;=J16,"YES","No"))</f>
        <v>No</v>
      </c>
      <c r="M16" s="5"/>
    </row>
    <row r="17" customFormat="false" ht="15" hidden="false" customHeight="true" outlineLevel="0" collapsed="false">
      <c r="A17" s="8" t="s">
        <v>78</v>
      </c>
      <c r="B17" s="8" t="s">
        <v>79</v>
      </c>
      <c r="C17" s="8" t="s">
        <v>80</v>
      </c>
      <c r="D17" s="8"/>
      <c r="E17" s="8" t="s">
        <v>81</v>
      </c>
      <c r="F17" s="8" t="s">
        <v>20</v>
      </c>
      <c r="G17" s="9" t="s">
        <v>21</v>
      </c>
      <c r="H17" s="10" t="s">
        <v>22</v>
      </c>
      <c r="I17" s="9" t="s">
        <v>21</v>
      </c>
      <c r="J17" s="9" t="s">
        <v>23</v>
      </c>
      <c r="K17" s="10" t="n">
        <f aca="true">IF(I17="","",TODAY()-I17)</f>
        <v>0</v>
      </c>
      <c r="L17" s="10" t="str">
        <f aca="true">IF(J17="","",IF(TODAY()&gt;=J17,"YES","No"))</f>
        <v>No</v>
      </c>
      <c r="M17" s="8"/>
    </row>
    <row r="18" customFormat="false" ht="15" hidden="false" customHeight="true" outlineLevel="0" collapsed="false">
      <c r="A18" s="5" t="s">
        <v>82</v>
      </c>
      <c r="B18" s="5" t="s">
        <v>83</v>
      </c>
      <c r="C18" s="5" t="s">
        <v>84</v>
      </c>
      <c r="D18" s="5" t="s">
        <v>85</v>
      </c>
      <c r="E18" s="5" t="s">
        <v>86</v>
      </c>
      <c r="F18" s="5" t="s">
        <v>20</v>
      </c>
      <c r="G18" s="6" t="s">
        <v>21</v>
      </c>
      <c r="H18" s="7" t="s">
        <v>22</v>
      </c>
      <c r="I18" s="6" t="s">
        <v>21</v>
      </c>
      <c r="J18" s="6" t="s">
        <v>23</v>
      </c>
      <c r="K18" s="7" t="n">
        <f aca="true">IF(I18="","",TODAY()-I18)</f>
        <v>0</v>
      </c>
      <c r="L18" s="7" t="str">
        <f aca="true">IF(J18="","",IF(TODAY()&gt;=J18,"YES","No"))</f>
        <v>No</v>
      </c>
      <c r="M18" s="5"/>
    </row>
    <row r="19" customFormat="false" ht="15" hidden="false" customHeight="true" outlineLevel="0" collapsed="false">
      <c r="A19" s="8" t="s">
        <v>87</v>
      </c>
      <c r="B19" s="8" t="s">
        <v>88</v>
      </c>
      <c r="C19" s="8" t="s">
        <v>89</v>
      </c>
      <c r="D19" s="8" t="s">
        <v>90</v>
      </c>
      <c r="E19" s="8" t="s">
        <v>91</v>
      </c>
      <c r="F19" s="8" t="s">
        <v>20</v>
      </c>
      <c r="G19" s="9" t="s">
        <v>21</v>
      </c>
      <c r="H19" s="10" t="s">
        <v>22</v>
      </c>
      <c r="I19" s="9" t="s">
        <v>21</v>
      </c>
      <c r="J19" s="9" t="s">
        <v>23</v>
      </c>
      <c r="K19" s="10" t="n">
        <f aca="true">IF(I19="","",TODAY()-I19)</f>
        <v>0</v>
      </c>
      <c r="L19" s="10" t="str">
        <f aca="true">IF(J19="","",IF(TODAY()&gt;=J19,"YES","No"))</f>
        <v>No</v>
      </c>
      <c r="M19" s="8"/>
    </row>
    <row r="20" customFormat="false" ht="15" hidden="false" customHeight="true" outlineLevel="0" collapsed="false">
      <c r="A20" s="5" t="s">
        <v>92</v>
      </c>
      <c r="B20" s="5" t="s">
        <v>93</v>
      </c>
      <c r="C20" s="5" t="s">
        <v>94</v>
      </c>
      <c r="D20" s="5" t="s">
        <v>95</v>
      </c>
      <c r="E20" s="5" t="s">
        <v>96</v>
      </c>
      <c r="F20" s="5" t="s">
        <v>20</v>
      </c>
      <c r="G20" s="6" t="s">
        <v>21</v>
      </c>
      <c r="H20" s="7" t="s">
        <v>22</v>
      </c>
      <c r="I20" s="6" t="s">
        <v>21</v>
      </c>
      <c r="J20" s="6" t="s">
        <v>23</v>
      </c>
      <c r="K20" s="7" t="n">
        <f aca="true">IF(I20="","",TODAY()-I20)</f>
        <v>0</v>
      </c>
      <c r="L20" s="7" t="str">
        <f aca="true">IF(J20="","",IF(TODAY()&gt;=J20,"YES","No"))</f>
        <v>No</v>
      </c>
      <c r="M20" s="5"/>
    </row>
    <row r="21" customFormat="false" ht="15" hidden="false" customHeight="true" outlineLevel="0" collapsed="false">
      <c r="A21" s="8" t="s">
        <v>97</v>
      </c>
      <c r="B21" s="8" t="s">
        <v>98</v>
      </c>
      <c r="C21" s="8" t="s">
        <v>99</v>
      </c>
      <c r="D21" s="8" t="s">
        <v>100</v>
      </c>
      <c r="E21" s="8" t="s">
        <v>49</v>
      </c>
      <c r="F21" s="8" t="s">
        <v>20</v>
      </c>
      <c r="G21" s="9" t="s">
        <v>21</v>
      </c>
      <c r="H21" s="10" t="s">
        <v>22</v>
      </c>
      <c r="I21" s="9" t="s">
        <v>21</v>
      </c>
      <c r="J21" s="9" t="s">
        <v>23</v>
      </c>
      <c r="K21" s="10" t="n">
        <f aca="true">IF(I21="","",TODAY()-I21)</f>
        <v>0</v>
      </c>
      <c r="L21" s="10" t="str">
        <f aca="true">IF(J21="","",IF(TODAY()&gt;=J21,"YES","No"))</f>
        <v>No</v>
      </c>
      <c r="M21" s="8"/>
    </row>
    <row r="22" customFormat="false" ht="15" hidden="false" customHeight="true" outlineLevel="0" collapsed="false">
      <c r="A22" s="5" t="s">
        <v>101</v>
      </c>
      <c r="B22" s="5" t="s">
        <v>102</v>
      </c>
      <c r="C22" s="5" t="s">
        <v>103</v>
      </c>
      <c r="D22" s="5" t="s">
        <v>104</v>
      </c>
      <c r="E22" s="5" t="s">
        <v>86</v>
      </c>
      <c r="F22" s="5" t="s">
        <v>20</v>
      </c>
      <c r="G22" s="6" t="s">
        <v>21</v>
      </c>
      <c r="H22" s="7" t="s">
        <v>22</v>
      </c>
      <c r="I22" s="6" t="s">
        <v>21</v>
      </c>
      <c r="J22" s="6" t="s">
        <v>23</v>
      </c>
      <c r="K22" s="7" t="n">
        <f aca="true">IF(I22="","",TODAY()-I22)</f>
        <v>0</v>
      </c>
      <c r="L22" s="7" t="str">
        <f aca="true">IF(J22="","",IF(TODAY()&gt;=J22,"YES","No"))</f>
        <v>No</v>
      </c>
      <c r="M22" s="5"/>
    </row>
    <row r="23" customFormat="false" ht="15" hidden="false" customHeight="true" outlineLevel="0" collapsed="false">
      <c r="A23" s="8" t="s">
        <v>105</v>
      </c>
      <c r="B23" s="8" t="s">
        <v>106</v>
      </c>
      <c r="C23" s="8" t="s">
        <v>107</v>
      </c>
      <c r="D23" s="8"/>
      <c r="E23" s="8" t="s">
        <v>108</v>
      </c>
      <c r="F23" s="8" t="s">
        <v>20</v>
      </c>
      <c r="G23" s="9" t="s">
        <v>21</v>
      </c>
      <c r="H23" s="10" t="s">
        <v>22</v>
      </c>
      <c r="I23" s="9" t="s">
        <v>21</v>
      </c>
      <c r="J23" s="9" t="s">
        <v>23</v>
      </c>
      <c r="K23" s="10" t="n">
        <f aca="true">IF(I23="","",TODAY()-I23)</f>
        <v>0</v>
      </c>
      <c r="L23" s="10" t="str">
        <f aca="true">IF(J23="","",IF(TODAY()&gt;=J23,"YES","No"))</f>
        <v>No</v>
      </c>
      <c r="M23" s="8"/>
    </row>
    <row r="24" customFormat="false" ht="15" hidden="false" customHeight="true" outlineLevel="0" collapsed="false">
      <c r="A24" s="5" t="s">
        <v>109</v>
      </c>
      <c r="B24" s="5" t="s">
        <v>110</v>
      </c>
      <c r="C24" s="5" t="s">
        <v>111</v>
      </c>
      <c r="D24" s="5" t="s">
        <v>112</v>
      </c>
      <c r="E24" s="5" t="s">
        <v>113</v>
      </c>
      <c r="F24" s="5" t="s">
        <v>20</v>
      </c>
      <c r="G24" s="6" t="s">
        <v>21</v>
      </c>
      <c r="H24" s="7" t="s">
        <v>22</v>
      </c>
      <c r="I24" s="6" t="s">
        <v>21</v>
      </c>
      <c r="J24" s="6" t="s">
        <v>23</v>
      </c>
      <c r="K24" s="7" t="n">
        <f aca="true">IF(I24="","",TODAY()-I24)</f>
        <v>0</v>
      </c>
      <c r="L24" s="7" t="str">
        <f aca="true">IF(J24="","",IF(TODAY()&gt;=J24,"YES","No"))</f>
        <v>No</v>
      </c>
      <c r="M24" s="5"/>
    </row>
    <row r="25" customFormat="false" ht="15" hidden="false" customHeight="true" outlineLevel="0" collapsed="false">
      <c r="A25" s="8" t="s">
        <v>114</v>
      </c>
      <c r="B25" s="8" t="s">
        <v>115</v>
      </c>
      <c r="C25" s="8" t="s">
        <v>116</v>
      </c>
      <c r="D25" s="8"/>
      <c r="E25" s="8" t="s">
        <v>54</v>
      </c>
      <c r="F25" s="8" t="s">
        <v>20</v>
      </c>
      <c r="G25" s="9" t="s">
        <v>21</v>
      </c>
      <c r="H25" s="10" t="s">
        <v>22</v>
      </c>
      <c r="I25" s="9" t="s">
        <v>21</v>
      </c>
      <c r="J25" s="9" t="s">
        <v>23</v>
      </c>
      <c r="K25" s="10" t="n">
        <f aca="true">IF(I25="","",TODAY()-I25)</f>
        <v>0</v>
      </c>
      <c r="L25" s="10" t="str">
        <f aca="true">IF(J25="","",IF(TODAY()&gt;=J25,"YES","No"))</f>
        <v>No</v>
      </c>
      <c r="M25" s="8"/>
    </row>
    <row r="26" customFormat="false" ht="15" hidden="false" customHeight="true" outlineLevel="0" collapsed="false">
      <c r="A26" s="5" t="s">
        <v>117</v>
      </c>
      <c r="B26" s="5" t="s">
        <v>118</v>
      </c>
      <c r="C26" s="5" t="s">
        <v>119</v>
      </c>
      <c r="D26" s="5"/>
      <c r="E26" s="5" t="s">
        <v>120</v>
      </c>
      <c r="F26" s="5" t="s">
        <v>20</v>
      </c>
      <c r="G26" s="6" t="s">
        <v>21</v>
      </c>
      <c r="H26" s="7" t="s">
        <v>22</v>
      </c>
      <c r="I26" s="6" t="s">
        <v>21</v>
      </c>
      <c r="J26" s="6" t="s">
        <v>23</v>
      </c>
      <c r="K26" s="7" t="n">
        <f aca="true">IF(I26="","",TODAY()-I26)</f>
        <v>0</v>
      </c>
      <c r="L26" s="7" t="str">
        <f aca="true">IF(J26="","",IF(TODAY()&gt;=J26,"YES","No"))</f>
        <v>No</v>
      </c>
      <c r="M26" s="5"/>
    </row>
    <row r="27" customFormat="false" ht="15" hidden="false" customHeight="true" outlineLevel="0" collapsed="false">
      <c r="A27" s="8" t="s">
        <v>121</v>
      </c>
      <c r="B27" s="8" t="s">
        <v>122</v>
      </c>
      <c r="C27" s="8" t="s">
        <v>123</v>
      </c>
      <c r="D27" s="8"/>
      <c r="E27" s="8" t="s">
        <v>54</v>
      </c>
      <c r="F27" s="8" t="s">
        <v>20</v>
      </c>
      <c r="G27" s="9" t="s">
        <v>21</v>
      </c>
      <c r="H27" s="10" t="s">
        <v>22</v>
      </c>
      <c r="I27" s="9" t="s">
        <v>21</v>
      </c>
      <c r="J27" s="9" t="s">
        <v>23</v>
      </c>
      <c r="K27" s="10" t="n">
        <f aca="true">IF(I27="","",TODAY()-I27)</f>
        <v>0</v>
      </c>
      <c r="L27" s="10" t="str">
        <f aca="true">IF(J27="","",IF(TODAY()&gt;=J27,"YES","No"))</f>
        <v>No</v>
      </c>
      <c r="M27" s="8"/>
    </row>
    <row r="28" customFormat="false" ht="15" hidden="false" customHeight="true" outlineLevel="0" collapsed="false">
      <c r="A28" s="5" t="s">
        <v>124</v>
      </c>
      <c r="B28" s="5" t="s">
        <v>125</v>
      </c>
      <c r="C28" s="5" t="s">
        <v>126</v>
      </c>
      <c r="D28" s="5" t="s">
        <v>127</v>
      </c>
      <c r="E28" s="5" t="s">
        <v>128</v>
      </c>
      <c r="F28" s="5" t="s">
        <v>20</v>
      </c>
      <c r="G28" s="6" t="s">
        <v>21</v>
      </c>
      <c r="H28" s="7" t="s">
        <v>22</v>
      </c>
      <c r="I28" s="6" t="s">
        <v>21</v>
      </c>
      <c r="J28" s="6" t="s">
        <v>23</v>
      </c>
      <c r="K28" s="7" t="n">
        <f aca="true">IF(I28="","",TODAY()-I28)</f>
        <v>0</v>
      </c>
      <c r="L28" s="7" t="str">
        <f aca="true">IF(J28="","",IF(TODAY()&gt;=J28,"YES","No"))</f>
        <v>No</v>
      </c>
      <c r="M28" s="5"/>
    </row>
    <row r="29" customFormat="false" ht="15" hidden="false" customHeight="false" outlineLevel="0" collapsed="false">
      <c r="A29" s="5" t="s">
        <v>129</v>
      </c>
      <c r="B29" s="5" t="s">
        <v>130</v>
      </c>
      <c r="C29" s="5" t="s">
        <v>131</v>
      </c>
      <c r="D29" s="5" t="s">
        <v>132</v>
      </c>
      <c r="E29" s="5" t="s">
        <v>72</v>
      </c>
      <c r="F29" s="5" t="s">
        <v>20</v>
      </c>
      <c r="G29" s="6" t="s">
        <v>21</v>
      </c>
      <c r="H29" s="7" t="s">
        <v>22</v>
      </c>
      <c r="I29" s="6" t="s">
        <v>21</v>
      </c>
      <c r="J29" s="6" t="s">
        <v>23</v>
      </c>
      <c r="K29" s="7" t="n">
        <f aca="true">IF(I29="","",TODAY()-I29)</f>
        <v>0</v>
      </c>
      <c r="L29" s="7" t="str">
        <f aca="true">IF(J29="","",IF(TODAY()&gt;=J29,"YES","No"))</f>
        <v>No</v>
      </c>
      <c r="M29" s="5"/>
    </row>
    <row r="30" customFormat="false" ht="15" hidden="false" customHeight="false" outlineLevel="0" collapsed="false">
      <c r="A30" s="5" t="s">
        <v>133</v>
      </c>
      <c r="B30" s="5" t="s">
        <v>134</v>
      </c>
      <c r="C30" s="5" t="s">
        <v>135</v>
      </c>
      <c r="D30" s="5" t="s">
        <v>136</v>
      </c>
      <c r="E30" s="5" t="s">
        <v>54</v>
      </c>
      <c r="F30" s="5" t="s">
        <v>20</v>
      </c>
      <c r="G30" s="6" t="s">
        <v>21</v>
      </c>
      <c r="H30" s="7" t="s">
        <v>22</v>
      </c>
      <c r="I30" s="6" t="s">
        <v>21</v>
      </c>
      <c r="J30" s="6" t="s">
        <v>23</v>
      </c>
      <c r="K30" s="7" t="n">
        <f aca="true">IF(I30="","",TODAY()-I30)</f>
        <v>0</v>
      </c>
      <c r="L30" s="7" t="str">
        <f aca="true">IF(J30="","",IF(TODAY()&gt;=J30,"YES","No"))</f>
        <v>No</v>
      </c>
      <c r="M30" s="5"/>
    </row>
    <row r="31" customFormat="false" ht="15" hidden="false" customHeight="false" outlineLevel="0" collapsed="false">
      <c r="A31" s="5" t="s">
        <v>137</v>
      </c>
      <c r="B31" s="5" t="s">
        <v>138</v>
      </c>
      <c r="C31" s="5" t="s">
        <v>139</v>
      </c>
      <c r="D31" s="5"/>
      <c r="E31" s="5" t="s">
        <v>140</v>
      </c>
      <c r="F31" s="5" t="s">
        <v>20</v>
      </c>
      <c r="G31" s="6" t="s">
        <v>21</v>
      </c>
      <c r="H31" s="7" t="s">
        <v>22</v>
      </c>
      <c r="I31" s="6" t="s">
        <v>21</v>
      </c>
      <c r="J31" s="6" t="s">
        <v>23</v>
      </c>
      <c r="K31" s="7" t="n">
        <f aca="true">IF(I31="","",TODAY()-I31)</f>
        <v>0</v>
      </c>
      <c r="L31" s="7" t="str">
        <f aca="true">IF(J31="","",IF(TODAY()&gt;=J31,"YES","No"))</f>
        <v>No</v>
      </c>
      <c r="M31" s="5"/>
    </row>
    <row r="32" customFormat="false" ht="15" hidden="false" customHeight="false" outlineLevel="0" collapsed="false">
      <c r="A32" s="5" t="s">
        <v>141</v>
      </c>
      <c r="B32" s="5" t="s">
        <v>142</v>
      </c>
      <c r="C32" s="5" t="s">
        <v>143</v>
      </c>
      <c r="D32" s="5" t="s">
        <v>144</v>
      </c>
      <c r="E32" s="5" t="s">
        <v>54</v>
      </c>
      <c r="F32" s="5" t="s">
        <v>20</v>
      </c>
      <c r="G32" s="6" t="s">
        <v>21</v>
      </c>
      <c r="H32" s="7" t="s">
        <v>22</v>
      </c>
      <c r="I32" s="6" t="s">
        <v>21</v>
      </c>
      <c r="J32" s="6" t="s">
        <v>23</v>
      </c>
      <c r="K32" s="7" t="n">
        <f aca="true">IF(I32="","",TODAY()-I32)</f>
        <v>0</v>
      </c>
      <c r="L32" s="7" t="str">
        <f aca="true">IF(J32="","",IF(TODAY()&gt;=J32,"YES","No"))</f>
        <v>No</v>
      </c>
      <c r="M32" s="5"/>
    </row>
    <row r="33" customFormat="false" ht="15" hidden="false" customHeight="false" outlineLevel="0" collapsed="false">
      <c r="A33" s="5" t="s">
        <v>145</v>
      </c>
      <c r="B33" s="5" t="s">
        <v>146</v>
      </c>
      <c r="C33" s="5" t="s">
        <v>147</v>
      </c>
      <c r="D33" s="5"/>
      <c r="E33" s="5" t="s">
        <v>54</v>
      </c>
      <c r="F33" s="5" t="s">
        <v>20</v>
      </c>
      <c r="G33" s="6" t="s">
        <v>21</v>
      </c>
      <c r="H33" s="7" t="s">
        <v>22</v>
      </c>
      <c r="I33" s="6" t="s">
        <v>21</v>
      </c>
      <c r="J33" s="6" t="s">
        <v>23</v>
      </c>
      <c r="K33" s="7" t="n">
        <f aca="true">IF(I33="","",TODAY()-I33)</f>
        <v>0</v>
      </c>
      <c r="L33" s="7" t="str">
        <f aca="true">IF(J33="","",IF(TODAY()&gt;=J33,"YES","No"))</f>
        <v>No</v>
      </c>
      <c r="M33" s="5"/>
    </row>
    <row r="34" customFormat="false" ht="15" hidden="false" customHeight="false" outlineLevel="0" collapsed="false">
      <c r="A34" s="5" t="s">
        <v>148</v>
      </c>
      <c r="B34" s="5" t="s">
        <v>149</v>
      </c>
      <c r="C34" s="5" t="s">
        <v>150</v>
      </c>
      <c r="D34" s="5" t="s">
        <v>151</v>
      </c>
      <c r="E34" s="5" t="s">
        <v>54</v>
      </c>
      <c r="F34" s="5" t="s">
        <v>20</v>
      </c>
      <c r="G34" s="6" t="s">
        <v>21</v>
      </c>
      <c r="H34" s="7" t="s">
        <v>22</v>
      </c>
      <c r="I34" s="6" t="s">
        <v>21</v>
      </c>
      <c r="J34" s="6" t="s">
        <v>23</v>
      </c>
      <c r="K34" s="7" t="n">
        <f aca="true">IF(I34="","",TODAY()-I34)</f>
        <v>0</v>
      </c>
      <c r="L34" s="7" t="str">
        <f aca="true">IF(J34="","",IF(TODAY()&gt;=J34,"YES","No"))</f>
        <v>No</v>
      </c>
      <c r="M34" s="5"/>
    </row>
    <row r="35" customFormat="false" ht="15" hidden="false" customHeight="false" outlineLevel="0" collapsed="false">
      <c r="A35" s="5" t="s">
        <v>152</v>
      </c>
      <c r="B35" s="5" t="s">
        <v>153</v>
      </c>
      <c r="C35" s="5" t="s">
        <v>154</v>
      </c>
      <c r="D35" s="5"/>
      <c r="E35" s="5" t="s">
        <v>54</v>
      </c>
      <c r="F35" s="5" t="s">
        <v>20</v>
      </c>
      <c r="G35" s="6" t="s">
        <v>21</v>
      </c>
      <c r="H35" s="7" t="s">
        <v>22</v>
      </c>
      <c r="I35" s="6" t="s">
        <v>21</v>
      </c>
      <c r="J35" s="6" t="s">
        <v>23</v>
      </c>
      <c r="K35" s="7" t="n">
        <f aca="true">IF(I35="","",TODAY()-I35)</f>
        <v>0</v>
      </c>
      <c r="L35" s="7" t="str">
        <f aca="true">IF(J35="","",IF(TODAY()&gt;=J35,"YES","No"))</f>
        <v>No</v>
      </c>
      <c r="M35" s="5"/>
    </row>
    <row r="36" customFormat="false" ht="15" hidden="false" customHeight="false" outlineLevel="0" collapsed="false">
      <c r="A36" s="5" t="s">
        <v>155</v>
      </c>
      <c r="B36" s="5" t="s">
        <v>156</v>
      </c>
      <c r="C36" s="5" t="s">
        <v>157</v>
      </c>
      <c r="D36" s="5"/>
      <c r="E36" s="5" t="s">
        <v>158</v>
      </c>
      <c r="F36" s="5" t="s">
        <v>20</v>
      </c>
      <c r="G36" s="6" t="s">
        <v>21</v>
      </c>
      <c r="H36" s="7" t="s">
        <v>22</v>
      </c>
      <c r="I36" s="6" t="s">
        <v>21</v>
      </c>
      <c r="J36" s="6" t="s">
        <v>23</v>
      </c>
      <c r="K36" s="7" t="n">
        <f aca="true">IF(I36="","",TODAY()-I36)</f>
        <v>0</v>
      </c>
      <c r="L36" s="7" t="str">
        <f aca="true">IF(J36="","",IF(TODAY()&gt;=J36,"YES","No"))</f>
        <v>No</v>
      </c>
      <c r="M36" s="5"/>
    </row>
    <row r="37" customFormat="false" ht="15" hidden="false" customHeight="false" outlineLevel="0" collapsed="false">
      <c r="A37" s="5" t="s">
        <v>159</v>
      </c>
      <c r="B37" s="5" t="s">
        <v>160</v>
      </c>
      <c r="C37" s="5" t="s">
        <v>161</v>
      </c>
      <c r="D37" s="5" t="s">
        <v>162</v>
      </c>
      <c r="E37" s="5" t="s">
        <v>49</v>
      </c>
      <c r="F37" s="5" t="s">
        <v>20</v>
      </c>
      <c r="G37" s="6" t="s">
        <v>21</v>
      </c>
      <c r="H37" s="7" t="s">
        <v>22</v>
      </c>
      <c r="I37" s="6" t="s">
        <v>21</v>
      </c>
      <c r="J37" s="6" t="s">
        <v>23</v>
      </c>
      <c r="K37" s="7" t="n">
        <f aca="true">IF(I37="","",TODAY()-I37)</f>
        <v>0</v>
      </c>
      <c r="L37" s="7" t="str">
        <f aca="true">IF(J37="","",IF(TODAY()&gt;=J37,"YES","No"))</f>
        <v>No</v>
      </c>
      <c r="M37" s="5"/>
    </row>
    <row r="38" customFormat="false" ht="15" hidden="false" customHeight="false" outlineLevel="0" collapsed="false">
      <c r="A38" s="5" t="s">
        <v>163</v>
      </c>
      <c r="B38" s="5" t="s">
        <v>164</v>
      </c>
      <c r="C38" s="5" t="s">
        <v>165</v>
      </c>
      <c r="D38" s="5" t="s">
        <v>166</v>
      </c>
      <c r="E38" s="5" t="s">
        <v>158</v>
      </c>
      <c r="F38" s="5" t="s">
        <v>20</v>
      </c>
      <c r="G38" s="6" t="s">
        <v>21</v>
      </c>
      <c r="H38" s="7" t="s">
        <v>22</v>
      </c>
      <c r="I38" s="6" t="s">
        <v>21</v>
      </c>
      <c r="J38" s="6" t="s">
        <v>23</v>
      </c>
      <c r="K38" s="7" t="n">
        <f aca="true">IF(I38="","",TODAY()-I38)</f>
        <v>0</v>
      </c>
      <c r="L38" s="7" t="str">
        <f aca="true">IF(J38="","",IF(TODAY()&gt;=J38,"YES","No"))</f>
        <v>No</v>
      </c>
      <c r="M38" s="5"/>
    </row>
    <row r="39" customFormat="false" ht="15" hidden="false" customHeight="false" outlineLevel="0" collapsed="false">
      <c r="A39" s="5" t="s">
        <v>167</v>
      </c>
      <c r="B39" s="5" t="s">
        <v>168</v>
      </c>
      <c r="C39" s="5" t="s">
        <v>169</v>
      </c>
      <c r="D39" s="5" t="s">
        <v>170</v>
      </c>
      <c r="E39" s="5" t="s">
        <v>54</v>
      </c>
      <c r="F39" s="5" t="s">
        <v>20</v>
      </c>
      <c r="G39" s="6" t="s">
        <v>21</v>
      </c>
      <c r="H39" s="7" t="s">
        <v>22</v>
      </c>
      <c r="I39" s="6" t="s">
        <v>21</v>
      </c>
      <c r="J39" s="6" t="s">
        <v>23</v>
      </c>
      <c r="K39" s="7" t="n">
        <f aca="true">IF(I39="","",TODAY()-I39)</f>
        <v>0</v>
      </c>
      <c r="L39" s="7" t="str">
        <f aca="true">IF(J39="","",IF(TODAY()&gt;=J39,"YES","No"))</f>
        <v>No</v>
      </c>
      <c r="M39" s="5"/>
    </row>
    <row r="40" customFormat="false" ht="15" hidden="false" customHeight="false" outlineLevel="0" collapsed="false">
      <c r="A40" s="5" t="s">
        <v>171</v>
      </c>
      <c r="B40" s="5" t="s">
        <v>172</v>
      </c>
      <c r="C40" s="5" t="s">
        <v>173</v>
      </c>
      <c r="D40" s="5"/>
      <c r="E40" s="5" t="s">
        <v>174</v>
      </c>
      <c r="F40" s="5" t="s">
        <v>20</v>
      </c>
      <c r="G40" s="6" t="s">
        <v>21</v>
      </c>
      <c r="H40" s="7" t="s">
        <v>22</v>
      </c>
      <c r="I40" s="6" t="s">
        <v>21</v>
      </c>
      <c r="J40" s="6" t="s">
        <v>23</v>
      </c>
      <c r="K40" s="7" t="n">
        <f aca="true">IF(I40="","",TODAY()-I40)</f>
        <v>0</v>
      </c>
      <c r="L40" s="7" t="str">
        <f aca="true">IF(J40="","",IF(TODAY()&gt;=J40,"YES","No"))</f>
        <v>No</v>
      </c>
      <c r="M40" s="5"/>
    </row>
    <row r="41" customFormat="false" ht="15" hidden="false" customHeight="false" outlineLevel="0" collapsed="false">
      <c r="A41" s="5" t="s">
        <v>175</v>
      </c>
      <c r="B41" s="5" t="s">
        <v>176</v>
      </c>
      <c r="C41" s="5" t="s">
        <v>177</v>
      </c>
      <c r="D41" s="5" t="s">
        <v>178</v>
      </c>
      <c r="E41" s="5" t="s">
        <v>179</v>
      </c>
      <c r="F41" s="5" t="s">
        <v>20</v>
      </c>
      <c r="G41" s="6" t="s">
        <v>21</v>
      </c>
      <c r="H41" s="7" t="s">
        <v>22</v>
      </c>
      <c r="I41" s="6" t="s">
        <v>21</v>
      </c>
      <c r="J41" s="6" t="s">
        <v>23</v>
      </c>
      <c r="K41" s="7" t="n">
        <f aca="true">IF(I41="","",TODAY()-I41)</f>
        <v>0</v>
      </c>
      <c r="L41" s="7" t="str">
        <f aca="true">IF(J41="","",IF(TODAY()&gt;=J41,"YES","No"))</f>
        <v>No</v>
      </c>
      <c r="M41" s="5"/>
    </row>
    <row r="42" customFormat="false" ht="15" hidden="false" customHeight="false" outlineLevel="0" collapsed="false">
      <c r="A42" s="5" t="s">
        <v>180</v>
      </c>
      <c r="B42" s="5" t="s">
        <v>181</v>
      </c>
      <c r="C42" s="5" t="s">
        <v>182</v>
      </c>
      <c r="D42" s="5" t="s">
        <v>183</v>
      </c>
      <c r="E42" s="5" t="s">
        <v>54</v>
      </c>
      <c r="F42" s="5" t="s">
        <v>20</v>
      </c>
      <c r="G42" s="6" t="s">
        <v>21</v>
      </c>
      <c r="H42" s="7" t="s">
        <v>22</v>
      </c>
      <c r="I42" s="6" t="s">
        <v>21</v>
      </c>
      <c r="J42" s="6" t="s">
        <v>23</v>
      </c>
      <c r="K42" s="7" t="n">
        <f aca="true">IF(I42="","",TODAY()-I42)</f>
        <v>0</v>
      </c>
      <c r="L42" s="7" t="str">
        <f aca="true">IF(J42="","",IF(TODAY()&gt;=J42,"YES","No"))</f>
        <v>No</v>
      </c>
      <c r="M42" s="5"/>
    </row>
    <row r="43" customFormat="false" ht="15" hidden="false" customHeight="false" outlineLevel="0" collapsed="false">
      <c r="A43" s="5" t="s">
        <v>184</v>
      </c>
      <c r="B43" s="5" t="s">
        <v>185</v>
      </c>
      <c r="C43" s="5" t="s">
        <v>186</v>
      </c>
      <c r="D43" s="5" t="s">
        <v>187</v>
      </c>
      <c r="E43" s="5" t="s">
        <v>188</v>
      </c>
      <c r="F43" s="5" t="s">
        <v>20</v>
      </c>
      <c r="G43" s="6" t="s">
        <v>21</v>
      </c>
      <c r="H43" s="7" t="s">
        <v>22</v>
      </c>
      <c r="I43" s="6" t="s">
        <v>21</v>
      </c>
      <c r="J43" s="6" t="s">
        <v>23</v>
      </c>
      <c r="K43" s="7" t="n">
        <f aca="true">IF(I43="","",TODAY()-I43)</f>
        <v>0</v>
      </c>
      <c r="L43" s="7" t="str">
        <f aca="true">IF(J43="","",IF(TODAY()&gt;=J43,"YES","No"))</f>
        <v>No</v>
      </c>
      <c r="M43" s="5"/>
    </row>
    <row r="44" customFormat="false" ht="15" hidden="false" customHeight="false" outlineLevel="0" collapsed="false">
      <c r="A44" s="5" t="s">
        <v>189</v>
      </c>
      <c r="B44" s="5" t="s">
        <v>190</v>
      </c>
      <c r="C44" s="5" t="s">
        <v>191</v>
      </c>
      <c r="D44" s="5"/>
      <c r="E44" s="5" t="s">
        <v>72</v>
      </c>
      <c r="F44" s="5" t="s">
        <v>20</v>
      </c>
      <c r="G44" s="6" t="s">
        <v>21</v>
      </c>
      <c r="H44" s="7" t="s">
        <v>22</v>
      </c>
      <c r="I44" s="6" t="s">
        <v>21</v>
      </c>
      <c r="J44" s="6" t="s">
        <v>23</v>
      </c>
      <c r="K44" s="7" t="n">
        <f aca="true">IF(I44="","",TODAY()-I44)</f>
        <v>0</v>
      </c>
      <c r="L44" s="7" t="str">
        <f aca="true">IF(J44="","",IF(TODAY()&gt;=J44,"YES","No"))</f>
        <v>No</v>
      </c>
      <c r="M44" s="5"/>
    </row>
    <row r="45" customFormat="false" ht="15" hidden="false" customHeight="false" outlineLevel="0" collapsed="false">
      <c r="A45" s="5" t="s">
        <v>192</v>
      </c>
      <c r="B45" s="5" t="s">
        <v>193</v>
      </c>
      <c r="C45" s="5" t="s">
        <v>194</v>
      </c>
      <c r="D45" s="5" t="s">
        <v>195</v>
      </c>
      <c r="E45" s="5" t="s">
        <v>54</v>
      </c>
      <c r="F45" s="5" t="s">
        <v>20</v>
      </c>
      <c r="G45" s="6" t="s">
        <v>21</v>
      </c>
      <c r="H45" s="7" t="s">
        <v>22</v>
      </c>
      <c r="I45" s="6" t="s">
        <v>21</v>
      </c>
      <c r="J45" s="6" t="s">
        <v>23</v>
      </c>
      <c r="K45" s="7" t="n">
        <f aca="true">IF(I45="","",TODAY()-I45)</f>
        <v>0</v>
      </c>
      <c r="L45" s="7" t="str">
        <f aca="true">IF(J45="","",IF(TODAY()&gt;=J45,"YES","No"))</f>
        <v>No</v>
      </c>
      <c r="M45" s="5"/>
    </row>
    <row r="46" customFormat="false" ht="15" hidden="false" customHeight="false" outlineLevel="0" collapsed="false">
      <c r="A46" s="5" t="s">
        <v>196</v>
      </c>
      <c r="B46" s="5" t="s">
        <v>197</v>
      </c>
      <c r="C46" s="5" t="s">
        <v>198</v>
      </c>
      <c r="D46" s="5" t="s">
        <v>199</v>
      </c>
      <c r="E46" s="5" t="s">
        <v>200</v>
      </c>
      <c r="F46" s="5" t="s">
        <v>20</v>
      </c>
      <c r="G46" s="6" t="s">
        <v>21</v>
      </c>
      <c r="H46" s="7" t="s">
        <v>22</v>
      </c>
      <c r="I46" s="6" t="s">
        <v>21</v>
      </c>
      <c r="J46" s="6" t="s">
        <v>23</v>
      </c>
      <c r="K46" s="7" t="n">
        <f aca="true">IF(I46="","",TODAY()-I46)</f>
        <v>0</v>
      </c>
      <c r="L46" s="7" t="str">
        <f aca="true">IF(J46="","",IF(TODAY()&gt;=J46,"YES","No"))</f>
        <v>No</v>
      </c>
      <c r="M46" s="5"/>
    </row>
    <row r="47" customFormat="false" ht="15" hidden="false" customHeight="false" outlineLevel="0" collapsed="false">
      <c r="A47" s="5" t="s">
        <v>201</v>
      </c>
      <c r="B47" s="5" t="s">
        <v>202</v>
      </c>
      <c r="C47" s="5" t="s">
        <v>203</v>
      </c>
      <c r="D47" s="5" t="s">
        <v>204</v>
      </c>
      <c r="E47" s="5" t="s">
        <v>49</v>
      </c>
      <c r="F47" s="5" t="s">
        <v>20</v>
      </c>
      <c r="G47" s="6" t="s">
        <v>21</v>
      </c>
      <c r="H47" s="7" t="s">
        <v>22</v>
      </c>
      <c r="I47" s="6" t="s">
        <v>21</v>
      </c>
      <c r="J47" s="6" t="s">
        <v>23</v>
      </c>
      <c r="K47" s="7" t="n">
        <f aca="true">IF(I47="","",TODAY()-I47)</f>
        <v>0</v>
      </c>
      <c r="L47" s="7" t="str">
        <f aca="true">IF(J47="","",IF(TODAY()&gt;=J47,"YES","No"))</f>
        <v>No</v>
      </c>
      <c r="M47" s="5"/>
    </row>
    <row r="48" customFormat="false" ht="15" hidden="false" customHeight="false" outlineLevel="0" collapsed="false">
      <c r="A48" s="5" t="s">
        <v>205</v>
      </c>
      <c r="B48" s="5" t="s">
        <v>206</v>
      </c>
      <c r="C48" s="5" t="s">
        <v>207</v>
      </c>
      <c r="D48" s="5"/>
      <c r="E48" s="5" t="s">
        <v>158</v>
      </c>
      <c r="F48" s="5" t="s">
        <v>20</v>
      </c>
      <c r="G48" s="6" t="s">
        <v>21</v>
      </c>
      <c r="H48" s="7" t="s">
        <v>22</v>
      </c>
      <c r="I48" s="6" t="s">
        <v>21</v>
      </c>
      <c r="J48" s="6" t="s">
        <v>23</v>
      </c>
      <c r="K48" s="7" t="n">
        <f aca="true">IF(I48="","",TODAY()-I48)</f>
        <v>0</v>
      </c>
      <c r="L48" s="7" t="str">
        <f aca="true">IF(J48="","",IF(TODAY()&gt;=J48,"YES","No"))</f>
        <v>No</v>
      </c>
      <c r="M48" s="5"/>
    </row>
    <row r="49" customFormat="false" ht="15" hidden="false" customHeight="false" outlineLevel="0" collapsed="false">
      <c r="A49" s="5" t="s">
        <v>208</v>
      </c>
      <c r="B49" s="5" t="s">
        <v>209</v>
      </c>
      <c r="C49" s="5" t="s">
        <v>210</v>
      </c>
      <c r="D49" s="5" t="s">
        <v>211</v>
      </c>
      <c r="E49" s="5" t="s">
        <v>49</v>
      </c>
      <c r="F49" s="5" t="s">
        <v>20</v>
      </c>
      <c r="G49" s="6" t="s">
        <v>21</v>
      </c>
      <c r="H49" s="7" t="s">
        <v>22</v>
      </c>
      <c r="I49" s="6" t="s">
        <v>21</v>
      </c>
      <c r="J49" s="6" t="s">
        <v>23</v>
      </c>
      <c r="K49" s="7" t="n">
        <f aca="true">IF(I49="","",TODAY()-I49)</f>
        <v>0</v>
      </c>
      <c r="L49" s="7" t="str">
        <f aca="true">IF(J49="","",IF(TODAY()&gt;=J49,"YES","No"))</f>
        <v>No</v>
      </c>
      <c r="M49" s="5"/>
    </row>
    <row r="50" customFormat="false" ht="15" hidden="false" customHeight="false" outlineLevel="0" collapsed="false">
      <c r="A50" s="5" t="s">
        <v>212</v>
      </c>
      <c r="B50" s="5" t="s">
        <v>213</v>
      </c>
      <c r="C50" s="5" t="s">
        <v>214</v>
      </c>
      <c r="D50" s="5" t="s">
        <v>215</v>
      </c>
      <c r="E50" s="5" t="s">
        <v>174</v>
      </c>
      <c r="F50" s="5" t="s">
        <v>20</v>
      </c>
      <c r="G50" s="6" t="s">
        <v>21</v>
      </c>
      <c r="H50" s="7" t="s">
        <v>22</v>
      </c>
      <c r="I50" s="6" t="s">
        <v>21</v>
      </c>
      <c r="J50" s="6" t="s">
        <v>23</v>
      </c>
      <c r="K50" s="7" t="n">
        <f aca="true">IF(I50="","",TODAY()-I50)</f>
        <v>0</v>
      </c>
      <c r="L50" s="7" t="str">
        <f aca="true">IF(J50="","",IF(TODAY()&gt;=J50,"YES","No"))</f>
        <v>No</v>
      </c>
      <c r="M50" s="5"/>
    </row>
    <row r="51" customFormat="false" ht="15" hidden="false" customHeight="false" outlineLevel="0" collapsed="false">
      <c r="A51" s="5" t="s">
        <v>216</v>
      </c>
      <c r="B51" s="5" t="s">
        <v>217</v>
      </c>
      <c r="C51" s="5" t="s">
        <v>218</v>
      </c>
      <c r="D51" s="5"/>
      <c r="E51" s="5" t="s">
        <v>54</v>
      </c>
      <c r="F51" s="5" t="s">
        <v>20</v>
      </c>
      <c r="G51" s="6" t="s">
        <v>21</v>
      </c>
      <c r="H51" s="7" t="s">
        <v>22</v>
      </c>
      <c r="I51" s="6" t="s">
        <v>21</v>
      </c>
      <c r="J51" s="6" t="s">
        <v>23</v>
      </c>
      <c r="K51" s="7" t="n">
        <f aca="true">IF(I51="","",TODAY()-I51)</f>
        <v>0</v>
      </c>
      <c r="L51" s="7" t="str">
        <f aca="true">IF(J51="","",IF(TODAY()&gt;=J51,"YES","No"))</f>
        <v>No</v>
      </c>
      <c r="M51" s="5"/>
    </row>
    <row r="52" customFormat="false" ht="15" hidden="false" customHeight="false" outlineLevel="0" collapsed="false">
      <c r="A52" s="5" t="s">
        <v>219</v>
      </c>
      <c r="B52" s="5" t="s">
        <v>220</v>
      </c>
      <c r="C52" s="5" t="s">
        <v>221</v>
      </c>
      <c r="D52" s="5" t="s">
        <v>222</v>
      </c>
      <c r="E52" s="5" t="s">
        <v>54</v>
      </c>
      <c r="F52" s="5" t="s">
        <v>20</v>
      </c>
      <c r="G52" s="6" t="s">
        <v>21</v>
      </c>
      <c r="H52" s="7" t="s">
        <v>22</v>
      </c>
      <c r="I52" s="6" t="s">
        <v>21</v>
      </c>
      <c r="J52" s="6" t="s">
        <v>23</v>
      </c>
      <c r="K52" s="7" t="n">
        <f aca="true">IF(I52="","",TODAY()-I52)</f>
        <v>0</v>
      </c>
      <c r="L52" s="7" t="str">
        <f aca="true">IF(J52="","",IF(TODAY()&gt;=J52,"YES","No"))</f>
        <v>No</v>
      </c>
      <c r="M52" s="5"/>
    </row>
    <row r="53" customFormat="false" ht="15" hidden="false" customHeight="false" outlineLevel="0" collapsed="false">
      <c r="A53" s="5" t="s">
        <v>223</v>
      </c>
      <c r="B53" s="5" t="s">
        <v>224</v>
      </c>
      <c r="C53" s="5" t="s">
        <v>225</v>
      </c>
      <c r="D53" s="5" t="s">
        <v>226</v>
      </c>
      <c r="E53" s="5" t="s">
        <v>54</v>
      </c>
      <c r="F53" s="5" t="s">
        <v>20</v>
      </c>
      <c r="G53" s="6" t="s">
        <v>21</v>
      </c>
      <c r="H53" s="7" t="s">
        <v>22</v>
      </c>
      <c r="I53" s="6" t="s">
        <v>21</v>
      </c>
      <c r="J53" s="6" t="s">
        <v>23</v>
      </c>
      <c r="K53" s="7" t="n">
        <f aca="true">IF(I53="","",TODAY()-I53)</f>
        <v>0</v>
      </c>
      <c r="L53" s="7" t="str">
        <f aca="true">IF(J53="","",IF(TODAY()&gt;=J53,"YES","No"))</f>
        <v>No</v>
      </c>
      <c r="M53" s="5"/>
    </row>
    <row r="54" customFormat="false" ht="15" hidden="false" customHeight="false" outlineLevel="0" collapsed="false">
      <c r="A54" s="5" t="s">
        <v>227</v>
      </c>
      <c r="B54" s="5" t="s">
        <v>228</v>
      </c>
      <c r="C54" s="5" t="s">
        <v>229</v>
      </c>
      <c r="D54" s="5" t="s">
        <v>230</v>
      </c>
      <c r="E54" s="5" t="s">
        <v>49</v>
      </c>
      <c r="F54" s="5" t="s">
        <v>20</v>
      </c>
      <c r="G54" s="6" t="s">
        <v>21</v>
      </c>
      <c r="H54" s="7" t="s">
        <v>22</v>
      </c>
      <c r="I54" s="6" t="s">
        <v>21</v>
      </c>
      <c r="J54" s="6" t="s">
        <v>23</v>
      </c>
      <c r="K54" s="7" t="n">
        <f aca="true">IF(I54="","",TODAY()-I54)</f>
        <v>0</v>
      </c>
      <c r="L54" s="7" t="str">
        <f aca="true">IF(J54="","",IF(TODAY()&gt;=J54,"YES","No"))</f>
        <v>No</v>
      </c>
      <c r="M54" s="5"/>
    </row>
    <row r="55" customFormat="false" ht="15" hidden="false" customHeight="false" outlineLevel="0" collapsed="false">
      <c r="A55" s="5" t="s">
        <v>231</v>
      </c>
      <c r="B55" s="5" t="s">
        <v>232</v>
      </c>
      <c r="C55" s="5" t="s">
        <v>233</v>
      </c>
      <c r="D55" s="5"/>
      <c r="E55" s="5" t="s">
        <v>158</v>
      </c>
      <c r="F55" s="5" t="s">
        <v>20</v>
      </c>
      <c r="G55" s="6" t="s">
        <v>21</v>
      </c>
      <c r="H55" s="7" t="s">
        <v>22</v>
      </c>
      <c r="I55" s="6" t="s">
        <v>21</v>
      </c>
      <c r="J55" s="6" t="s">
        <v>23</v>
      </c>
      <c r="K55" s="7" t="n">
        <f aca="true">IF(I55="","",TODAY()-I55)</f>
        <v>0</v>
      </c>
      <c r="L55" s="7" t="str">
        <f aca="true">IF(J55="","",IF(TODAY()&gt;=J55,"YES","No"))</f>
        <v>No</v>
      </c>
      <c r="M55" s="5"/>
    </row>
    <row r="56" customFormat="false" ht="15" hidden="false" customHeight="false" outlineLevel="0" collapsed="false">
      <c r="A56" s="5" t="s">
        <v>234</v>
      </c>
      <c r="B56" s="5" t="s">
        <v>235</v>
      </c>
      <c r="C56" s="5" t="s">
        <v>236</v>
      </c>
      <c r="D56" s="5" t="s">
        <v>237</v>
      </c>
      <c r="E56" s="5" t="s">
        <v>49</v>
      </c>
      <c r="F56" s="5" t="s">
        <v>20</v>
      </c>
      <c r="G56" s="6" t="s">
        <v>21</v>
      </c>
      <c r="H56" s="7" t="s">
        <v>22</v>
      </c>
      <c r="I56" s="6" t="s">
        <v>21</v>
      </c>
      <c r="J56" s="6" t="s">
        <v>23</v>
      </c>
      <c r="K56" s="7" t="n">
        <f aca="true">IF(I56="","",TODAY()-I56)</f>
        <v>0</v>
      </c>
      <c r="L56" s="7" t="str">
        <f aca="true">IF(J56="","",IF(TODAY()&gt;=J56,"YES","No"))</f>
        <v>No</v>
      </c>
      <c r="M56" s="5"/>
    </row>
    <row r="57" customFormat="false" ht="15" hidden="false" customHeight="false" outlineLevel="0" collapsed="false">
      <c r="A57" s="5" t="s">
        <v>238</v>
      </c>
      <c r="B57" s="5" t="s">
        <v>239</v>
      </c>
      <c r="C57" s="5" t="s">
        <v>240</v>
      </c>
      <c r="D57" s="5" t="s">
        <v>241</v>
      </c>
      <c r="E57" s="5" t="s">
        <v>54</v>
      </c>
      <c r="F57" s="5" t="s">
        <v>20</v>
      </c>
      <c r="G57" s="6" t="s">
        <v>21</v>
      </c>
      <c r="H57" s="7" t="s">
        <v>22</v>
      </c>
      <c r="I57" s="6" t="s">
        <v>21</v>
      </c>
      <c r="J57" s="6" t="s">
        <v>23</v>
      </c>
      <c r="K57" s="7" t="n">
        <f aca="true">IF(I57="","",TODAY()-I57)</f>
        <v>0</v>
      </c>
      <c r="L57" s="7" t="str">
        <f aca="true">IF(J57="","",IF(TODAY()&gt;=J57,"YES","No"))</f>
        <v>No</v>
      </c>
      <c r="M57" s="5"/>
    </row>
    <row r="58" customFormat="false" ht="15" hidden="false" customHeight="false" outlineLevel="0" collapsed="false">
      <c r="A58" s="5" t="s">
        <v>242</v>
      </c>
      <c r="B58" s="5" t="s">
        <v>243</v>
      </c>
      <c r="C58" s="5" t="s">
        <v>244</v>
      </c>
      <c r="D58" s="5" t="s">
        <v>245</v>
      </c>
      <c r="E58" s="5" t="s">
        <v>54</v>
      </c>
      <c r="F58" s="5" t="s">
        <v>20</v>
      </c>
      <c r="G58" s="6" t="s">
        <v>21</v>
      </c>
      <c r="H58" s="7" t="s">
        <v>22</v>
      </c>
      <c r="I58" s="6" t="s">
        <v>21</v>
      </c>
      <c r="J58" s="6" t="s">
        <v>23</v>
      </c>
      <c r="K58" s="7" t="n">
        <f aca="true">IF(I58="","",TODAY()-I58)</f>
        <v>0</v>
      </c>
      <c r="L58" s="7" t="str">
        <f aca="true">IF(J58="","",IF(TODAY()&gt;=J58,"YES","No"))</f>
        <v>No</v>
      </c>
      <c r="M58" s="5"/>
    </row>
    <row r="59" customFormat="false" ht="15" hidden="false" customHeight="false" outlineLevel="0" collapsed="false">
      <c r="A59" s="5" t="s">
        <v>246</v>
      </c>
      <c r="B59" s="5" t="s">
        <v>247</v>
      </c>
      <c r="C59" s="5" t="s">
        <v>248</v>
      </c>
      <c r="D59" s="5" t="s">
        <v>249</v>
      </c>
      <c r="E59" s="5" t="s">
        <v>54</v>
      </c>
      <c r="F59" s="5" t="s">
        <v>20</v>
      </c>
      <c r="G59" s="6" t="s">
        <v>21</v>
      </c>
      <c r="H59" s="7" t="s">
        <v>22</v>
      </c>
      <c r="I59" s="6" t="s">
        <v>21</v>
      </c>
      <c r="J59" s="6" t="s">
        <v>23</v>
      </c>
      <c r="K59" s="7" t="n">
        <f aca="true">IF(I59="","",TODAY()-I59)</f>
        <v>0</v>
      </c>
      <c r="L59" s="7" t="str">
        <f aca="true">IF(J59="","",IF(TODAY()&gt;=J59,"YES","No"))</f>
        <v>No</v>
      </c>
      <c r="M59" s="5"/>
    </row>
    <row r="60" customFormat="false" ht="15" hidden="false" customHeight="false" outlineLevel="0" collapsed="false">
      <c r="A60" s="5" t="s">
        <v>45</v>
      </c>
      <c r="B60" s="5" t="s">
        <v>250</v>
      </c>
      <c r="C60" s="5" t="s">
        <v>251</v>
      </c>
      <c r="D60" s="5" t="s">
        <v>252</v>
      </c>
      <c r="E60" s="5" t="s">
        <v>54</v>
      </c>
      <c r="F60" s="5" t="s">
        <v>20</v>
      </c>
      <c r="G60" s="6" t="s">
        <v>21</v>
      </c>
      <c r="H60" s="7" t="s">
        <v>22</v>
      </c>
      <c r="I60" s="6" t="s">
        <v>21</v>
      </c>
      <c r="J60" s="6" t="s">
        <v>23</v>
      </c>
      <c r="K60" s="7" t="n">
        <f aca="true">IF(I60="","",TODAY()-I60)</f>
        <v>0</v>
      </c>
      <c r="L60" s="7" t="str">
        <f aca="true">IF(J60="","",IF(TODAY()&gt;=J60,"YES","No"))</f>
        <v>No</v>
      </c>
      <c r="M60" s="5"/>
    </row>
    <row r="61" customFormat="false" ht="15" hidden="false" customHeight="false" outlineLevel="0" collapsed="false">
      <c r="A61" s="5" t="s">
        <v>253</v>
      </c>
      <c r="B61" s="5" t="s">
        <v>220</v>
      </c>
      <c r="C61" s="5" t="s">
        <v>254</v>
      </c>
      <c r="D61" s="5" t="s">
        <v>222</v>
      </c>
      <c r="E61" s="5" t="s">
        <v>54</v>
      </c>
      <c r="F61" s="5" t="s">
        <v>20</v>
      </c>
      <c r="G61" s="6" t="s">
        <v>21</v>
      </c>
      <c r="H61" s="7" t="s">
        <v>22</v>
      </c>
      <c r="I61" s="6" t="s">
        <v>21</v>
      </c>
      <c r="J61" s="6" t="s">
        <v>23</v>
      </c>
      <c r="K61" s="7" t="n">
        <f aca="true">IF(I61="","",TODAY()-I61)</f>
        <v>0</v>
      </c>
      <c r="L61" s="7" t="str">
        <f aca="true">IF(J61="","",IF(TODAY()&gt;=J61,"YES","No"))</f>
        <v>No</v>
      </c>
      <c r="M61" s="5"/>
    </row>
    <row r="62" customFormat="false" ht="15" hidden="false" customHeight="false" outlineLevel="0" collapsed="false">
      <c r="A62" s="5" t="s">
        <v>45</v>
      </c>
      <c r="B62" s="5" t="s">
        <v>255</v>
      </c>
      <c r="C62" s="5" t="s">
        <v>256</v>
      </c>
      <c r="D62" s="5" t="s">
        <v>257</v>
      </c>
      <c r="E62" s="5" t="s">
        <v>49</v>
      </c>
      <c r="F62" s="5" t="s">
        <v>20</v>
      </c>
      <c r="G62" s="6" t="s">
        <v>21</v>
      </c>
      <c r="H62" s="7" t="s">
        <v>22</v>
      </c>
      <c r="I62" s="6" t="s">
        <v>21</v>
      </c>
      <c r="J62" s="6" t="s">
        <v>23</v>
      </c>
      <c r="K62" s="7" t="n">
        <f aca="true">IF(I62="","",TODAY()-I62)</f>
        <v>0</v>
      </c>
      <c r="L62" s="7" t="str">
        <f aca="true">IF(J62="","",IF(TODAY()&gt;=J62,"YES","No"))</f>
        <v>No</v>
      </c>
      <c r="M62" s="5"/>
    </row>
    <row r="63" customFormat="false" ht="15" hidden="false" customHeight="false" outlineLevel="0" collapsed="false">
      <c r="A63" s="5" t="s">
        <v>258</v>
      </c>
      <c r="B63" s="5" t="s">
        <v>259</v>
      </c>
      <c r="C63" s="5" t="s">
        <v>260</v>
      </c>
      <c r="D63" s="5" t="s">
        <v>261</v>
      </c>
      <c r="E63" s="5" t="s">
        <v>174</v>
      </c>
      <c r="F63" s="5" t="s">
        <v>20</v>
      </c>
      <c r="G63" s="6" t="s">
        <v>21</v>
      </c>
      <c r="H63" s="7" t="s">
        <v>22</v>
      </c>
      <c r="I63" s="6" t="s">
        <v>21</v>
      </c>
      <c r="J63" s="6" t="s">
        <v>23</v>
      </c>
      <c r="K63" s="7" t="n">
        <f aca="true">IF(I63="","",TODAY()-I63)</f>
        <v>0</v>
      </c>
      <c r="L63" s="7" t="str">
        <f aca="true">IF(J63="","",IF(TODAY()&gt;=J63,"YES","No"))</f>
        <v>No</v>
      </c>
      <c r="M63" s="5"/>
    </row>
    <row r="64" customFormat="false" ht="15" hidden="false" customHeight="false" outlineLevel="0" collapsed="false">
      <c r="A64" s="5" t="s">
        <v>262</v>
      </c>
      <c r="B64" s="5" t="s">
        <v>263</v>
      </c>
      <c r="C64" s="5" t="s">
        <v>264</v>
      </c>
      <c r="D64" s="5" t="s">
        <v>265</v>
      </c>
      <c r="E64" s="5" t="s">
        <v>158</v>
      </c>
      <c r="F64" s="5" t="s">
        <v>20</v>
      </c>
      <c r="G64" s="6" t="s">
        <v>21</v>
      </c>
      <c r="H64" s="7" t="s">
        <v>22</v>
      </c>
      <c r="I64" s="6" t="s">
        <v>21</v>
      </c>
      <c r="J64" s="6" t="s">
        <v>23</v>
      </c>
      <c r="K64" s="7" t="n">
        <f aca="true">IF(I64="","",TODAY()-I64)</f>
        <v>0</v>
      </c>
      <c r="L64" s="7" t="str">
        <f aca="true">IF(J64="","",IF(TODAY()&gt;=J64,"YES","No"))</f>
        <v>No</v>
      </c>
      <c r="M64" s="5"/>
    </row>
    <row r="65" customFormat="false" ht="15" hidden="false" customHeight="false" outlineLevel="0" collapsed="false">
      <c r="A65" s="5" t="s">
        <v>266</v>
      </c>
      <c r="B65" s="5" t="s">
        <v>267</v>
      </c>
      <c r="C65" s="5" t="s">
        <v>268</v>
      </c>
      <c r="D65" s="5" t="s">
        <v>269</v>
      </c>
      <c r="E65" s="5" t="s">
        <v>54</v>
      </c>
      <c r="F65" s="5" t="s">
        <v>20</v>
      </c>
      <c r="G65" s="6" t="s">
        <v>21</v>
      </c>
      <c r="H65" s="7" t="s">
        <v>22</v>
      </c>
      <c r="I65" s="6" t="s">
        <v>21</v>
      </c>
      <c r="J65" s="6" t="s">
        <v>23</v>
      </c>
      <c r="K65" s="7" t="n">
        <f aca="true">IF(I65="","",TODAY()-I65)</f>
        <v>0</v>
      </c>
      <c r="L65" s="7" t="str">
        <f aca="true">IF(J65="","",IF(TODAY()&gt;=J65,"YES","No"))</f>
        <v>No</v>
      </c>
      <c r="M65" s="5"/>
    </row>
    <row r="66" customFormat="false" ht="15" hidden="false" customHeight="false" outlineLevel="0" collapsed="false">
      <c r="A66" s="5" t="s">
        <v>270</v>
      </c>
      <c r="B66" s="5" t="s">
        <v>271</v>
      </c>
      <c r="C66" s="5" t="s">
        <v>272</v>
      </c>
      <c r="D66" s="5"/>
      <c r="E66" s="5" t="s">
        <v>44</v>
      </c>
      <c r="F66" s="5" t="s">
        <v>20</v>
      </c>
      <c r="G66" s="6" t="s">
        <v>21</v>
      </c>
      <c r="H66" s="7" t="s">
        <v>22</v>
      </c>
      <c r="I66" s="6" t="s">
        <v>21</v>
      </c>
      <c r="J66" s="6" t="s">
        <v>23</v>
      </c>
      <c r="K66" s="7" t="n">
        <f aca="true">IF(I66="","",TODAY()-I66)</f>
        <v>0</v>
      </c>
      <c r="L66" s="7" t="str">
        <f aca="true">IF(J66="","",IF(TODAY()&gt;=J66,"YES","No"))</f>
        <v>No</v>
      </c>
      <c r="M66" s="5"/>
    </row>
    <row r="67" customFormat="false" ht="15" hidden="false" customHeight="false" outlineLevel="0" collapsed="false">
      <c r="A67" s="5" t="s">
        <v>273</v>
      </c>
      <c r="B67" s="5" t="s">
        <v>274</v>
      </c>
      <c r="C67" s="5" t="s">
        <v>275</v>
      </c>
      <c r="D67" s="5" t="s">
        <v>276</v>
      </c>
      <c r="E67" s="5" t="s">
        <v>54</v>
      </c>
      <c r="F67" s="5" t="s">
        <v>20</v>
      </c>
      <c r="G67" s="6" t="s">
        <v>21</v>
      </c>
      <c r="H67" s="7" t="s">
        <v>22</v>
      </c>
      <c r="I67" s="6" t="s">
        <v>21</v>
      </c>
      <c r="J67" s="6" t="s">
        <v>23</v>
      </c>
      <c r="K67" s="7" t="n">
        <f aca="true">IF(I67="","",TODAY()-I67)</f>
        <v>0</v>
      </c>
      <c r="L67" s="7" t="str">
        <f aca="true">IF(J67="","",IF(TODAY()&gt;=J67,"YES","No"))</f>
        <v>No</v>
      </c>
      <c r="M67" s="5"/>
    </row>
    <row r="68" customFormat="false" ht="15" hidden="false" customHeight="false" outlineLevel="0" collapsed="false">
      <c r="A68" s="5" t="s">
        <v>277</v>
      </c>
      <c r="B68" s="5" t="s">
        <v>278</v>
      </c>
      <c r="C68" s="5" t="s">
        <v>279</v>
      </c>
      <c r="D68" s="5" t="s">
        <v>280</v>
      </c>
      <c r="E68" s="5" t="s">
        <v>281</v>
      </c>
      <c r="F68" s="5" t="s">
        <v>20</v>
      </c>
      <c r="G68" s="6" t="s">
        <v>21</v>
      </c>
      <c r="H68" s="7" t="s">
        <v>22</v>
      </c>
      <c r="I68" s="6" t="s">
        <v>21</v>
      </c>
      <c r="J68" s="6" t="s">
        <v>23</v>
      </c>
      <c r="K68" s="7" t="n">
        <f aca="true">IF(I68="","",TODAY()-I68)</f>
        <v>0</v>
      </c>
      <c r="L68" s="7" t="str">
        <f aca="true">IF(J68="","",IF(TODAY()&gt;=J68,"YES","No"))</f>
        <v>No</v>
      </c>
      <c r="M68" s="5"/>
    </row>
    <row r="69" customFormat="false" ht="15" hidden="false" customHeight="false" outlineLevel="0" collapsed="false">
      <c r="A69" s="5" t="s">
        <v>282</v>
      </c>
      <c r="B69" s="5" t="s">
        <v>283</v>
      </c>
      <c r="C69" s="5" t="s">
        <v>284</v>
      </c>
      <c r="D69" s="5" t="s">
        <v>285</v>
      </c>
      <c r="E69" s="5" t="s">
        <v>54</v>
      </c>
      <c r="F69" s="5" t="s">
        <v>20</v>
      </c>
      <c r="G69" s="6" t="s">
        <v>21</v>
      </c>
      <c r="H69" s="7" t="s">
        <v>22</v>
      </c>
      <c r="I69" s="6" t="s">
        <v>21</v>
      </c>
      <c r="J69" s="6" t="s">
        <v>23</v>
      </c>
      <c r="K69" s="7" t="n">
        <f aca="true">IF(I69="","",TODAY()-I69)</f>
        <v>0</v>
      </c>
      <c r="L69" s="7" t="str">
        <f aca="true">IF(J69="","",IF(TODAY()&gt;=J69,"YES","No"))</f>
        <v>No</v>
      </c>
      <c r="M69" s="5"/>
    </row>
    <row r="70" customFormat="false" ht="15" hidden="false" customHeight="false" outlineLevel="0" collapsed="false">
      <c r="A70" s="5" t="s">
        <v>286</v>
      </c>
      <c r="B70" s="5" t="s">
        <v>287</v>
      </c>
      <c r="C70" s="5" t="s">
        <v>288</v>
      </c>
      <c r="D70" s="5" t="s">
        <v>289</v>
      </c>
      <c r="E70" s="5" t="s">
        <v>290</v>
      </c>
      <c r="F70" s="5" t="s">
        <v>20</v>
      </c>
      <c r="G70" s="6" t="s">
        <v>21</v>
      </c>
      <c r="H70" s="7" t="s">
        <v>22</v>
      </c>
      <c r="I70" s="6" t="s">
        <v>21</v>
      </c>
      <c r="J70" s="6" t="s">
        <v>23</v>
      </c>
      <c r="K70" s="7" t="n">
        <f aca="true">IF(I70="","",TODAY()-I70)</f>
        <v>0</v>
      </c>
      <c r="L70" s="7" t="str">
        <f aca="true">IF(J70="","",IF(TODAY()&gt;=J70,"YES","No"))</f>
        <v>No</v>
      </c>
      <c r="M70" s="5"/>
    </row>
    <row r="71" customFormat="false" ht="15" hidden="false" customHeight="false" outlineLevel="0" collapsed="false">
      <c r="A71" s="5" t="s">
        <v>291</v>
      </c>
      <c r="B71" s="5" t="s">
        <v>292</v>
      </c>
      <c r="C71" s="5" t="s">
        <v>293</v>
      </c>
      <c r="D71" s="5" t="s">
        <v>294</v>
      </c>
      <c r="E71" s="5" t="s">
        <v>54</v>
      </c>
      <c r="F71" s="5" t="s">
        <v>20</v>
      </c>
      <c r="G71" s="6" t="s">
        <v>21</v>
      </c>
      <c r="H71" s="7" t="s">
        <v>22</v>
      </c>
      <c r="I71" s="6" t="s">
        <v>21</v>
      </c>
      <c r="J71" s="6" t="s">
        <v>23</v>
      </c>
      <c r="K71" s="7" t="n">
        <f aca="true">IF(I71="","",TODAY()-I71)</f>
        <v>0</v>
      </c>
      <c r="L71" s="7" t="str">
        <f aca="true">IF(J71="","",IF(TODAY()&gt;=J71,"YES","No"))</f>
        <v>No</v>
      </c>
      <c r="M71" s="5"/>
    </row>
    <row r="72" customFormat="false" ht="15" hidden="false" customHeight="false" outlineLevel="0" collapsed="false">
      <c r="A72" s="5" t="s">
        <v>295</v>
      </c>
      <c r="B72" s="5" t="s">
        <v>41</v>
      </c>
      <c r="C72" s="5" t="s">
        <v>296</v>
      </c>
      <c r="D72" s="5" t="s">
        <v>297</v>
      </c>
      <c r="E72" s="5" t="s">
        <v>44</v>
      </c>
      <c r="F72" s="5" t="s">
        <v>20</v>
      </c>
      <c r="G72" s="6" t="s">
        <v>21</v>
      </c>
      <c r="H72" s="7" t="s">
        <v>22</v>
      </c>
      <c r="I72" s="6" t="s">
        <v>21</v>
      </c>
      <c r="J72" s="6" t="s">
        <v>23</v>
      </c>
      <c r="K72" s="7" t="n">
        <f aca="true">IF(I72="","",TODAY()-I72)</f>
        <v>0</v>
      </c>
      <c r="L72" s="7" t="str">
        <f aca="true">IF(J72="","",IF(TODAY()&gt;=J72,"YES","No"))</f>
        <v>No</v>
      </c>
      <c r="M72" s="5"/>
    </row>
    <row r="73" customFormat="false" ht="15" hidden="false" customHeight="false" outlineLevel="0" collapsed="false">
      <c r="A73" s="5" t="s">
        <v>298</v>
      </c>
      <c r="B73" s="5" t="s">
        <v>299</v>
      </c>
      <c r="C73" s="5" t="s">
        <v>300</v>
      </c>
      <c r="D73" s="5" t="s">
        <v>301</v>
      </c>
      <c r="E73" s="5" t="s">
        <v>54</v>
      </c>
      <c r="F73" s="5" t="s">
        <v>20</v>
      </c>
      <c r="G73" s="6" t="s">
        <v>21</v>
      </c>
      <c r="H73" s="7" t="s">
        <v>22</v>
      </c>
      <c r="I73" s="6" t="s">
        <v>21</v>
      </c>
      <c r="J73" s="6" t="s">
        <v>23</v>
      </c>
      <c r="K73" s="7" t="n">
        <f aca="true">IF(I73="","",TODAY()-I73)</f>
        <v>0</v>
      </c>
      <c r="L73" s="7" t="str">
        <f aca="true">IF(J73="","",IF(TODAY()&gt;=J73,"YES","No"))</f>
        <v>No</v>
      </c>
      <c r="M73" s="5"/>
    </row>
    <row r="74" customFormat="false" ht="15" hidden="false" customHeight="false" outlineLevel="0" collapsed="false">
      <c r="A74" s="5" t="s">
        <v>302</v>
      </c>
      <c r="B74" s="5" t="s">
        <v>303</v>
      </c>
      <c r="C74" s="5" t="s">
        <v>304</v>
      </c>
      <c r="D74" s="5" t="s">
        <v>305</v>
      </c>
      <c r="E74" s="5" t="s">
        <v>44</v>
      </c>
      <c r="F74" s="5" t="s">
        <v>20</v>
      </c>
      <c r="G74" s="6" t="s">
        <v>21</v>
      </c>
      <c r="H74" s="7" t="s">
        <v>22</v>
      </c>
      <c r="I74" s="6" t="s">
        <v>21</v>
      </c>
      <c r="J74" s="6" t="s">
        <v>23</v>
      </c>
      <c r="K74" s="7" t="n">
        <f aca="true">IF(I74="","",TODAY()-I74)</f>
        <v>0</v>
      </c>
      <c r="L74" s="7" t="str">
        <f aca="true">IF(J74="","",IF(TODAY()&gt;=J74,"YES","No"))</f>
        <v>No</v>
      </c>
      <c r="M74" s="5"/>
    </row>
    <row r="75" customFormat="false" ht="15" hidden="false" customHeight="false" outlineLevel="0" collapsed="false">
      <c r="A75" s="5" t="s">
        <v>306</v>
      </c>
      <c r="B75" s="5" t="s">
        <v>307</v>
      </c>
      <c r="C75" s="5" t="s">
        <v>308</v>
      </c>
      <c r="D75" s="5"/>
      <c r="E75" s="5" t="s">
        <v>54</v>
      </c>
      <c r="F75" s="5" t="s">
        <v>20</v>
      </c>
      <c r="G75" s="6" t="s">
        <v>21</v>
      </c>
      <c r="H75" s="7" t="s">
        <v>22</v>
      </c>
      <c r="I75" s="6" t="s">
        <v>21</v>
      </c>
      <c r="J75" s="6" t="s">
        <v>23</v>
      </c>
      <c r="K75" s="7" t="n">
        <f aca="true">IF(I75="","",TODAY()-I75)</f>
        <v>0</v>
      </c>
      <c r="L75" s="7" t="str">
        <f aca="true">IF(J75="","",IF(TODAY()&gt;=J75,"YES","No"))</f>
        <v>No</v>
      </c>
      <c r="M75" s="5"/>
    </row>
    <row r="76" customFormat="false" ht="15" hidden="false" customHeight="false" outlineLevel="0" collapsed="false">
      <c r="A76" s="5" t="s">
        <v>309</v>
      </c>
      <c r="B76" s="5" t="s">
        <v>310</v>
      </c>
      <c r="C76" s="5" t="s">
        <v>311</v>
      </c>
      <c r="D76" s="5" t="s">
        <v>312</v>
      </c>
      <c r="E76" s="5" t="s">
        <v>54</v>
      </c>
      <c r="F76" s="5" t="s">
        <v>20</v>
      </c>
      <c r="G76" s="6" t="s">
        <v>21</v>
      </c>
      <c r="H76" s="7" t="s">
        <v>22</v>
      </c>
      <c r="I76" s="6" t="s">
        <v>21</v>
      </c>
      <c r="J76" s="6" t="s">
        <v>23</v>
      </c>
      <c r="K76" s="7" t="n">
        <f aca="true">IF(I76="","",TODAY()-I76)</f>
        <v>0</v>
      </c>
      <c r="L76" s="7" t="str">
        <f aca="true">IF(J76="","",IF(TODAY()&gt;=J76,"YES","No"))</f>
        <v>No</v>
      </c>
      <c r="M76" s="5"/>
    </row>
    <row r="77" customFormat="false" ht="15" hidden="false" customHeight="false" outlineLevel="0" collapsed="false">
      <c r="A77" s="5" t="s">
        <v>313</v>
      </c>
      <c r="B77" s="5" t="s">
        <v>134</v>
      </c>
      <c r="C77" s="5" t="s">
        <v>314</v>
      </c>
      <c r="D77" s="5" t="s">
        <v>136</v>
      </c>
      <c r="E77" s="5" t="s">
        <v>54</v>
      </c>
      <c r="F77" s="5" t="s">
        <v>20</v>
      </c>
      <c r="G77" s="6" t="s">
        <v>21</v>
      </c>
      <c r="H77" s="7" t="s">
        <v>22</v>
      </c>
      <c r="I77" s="6" t="s">
        <v>21</v>
      </c>
      <c r="J77" s="6" t="s">
        <v>23</v>
      </c>
      <c r="K77" s="7" t="n">
        <f aca="true">IF(I77="","",TODAY()-I77)</f>
        <v>0</v>
      </c>
      <c r="L77" s="7" t="str">
        <f aca="true">IF(J77="","",IF(TODAY()&gt;=J77,"YES","No"))</f>
        <v>No</v>
      </c>
      <c r="M77" s="5"/>
    </row>
    <row r="78" customFormat="false" ht="15" hidden="false" customHeight="false" outlineLevel="0" collapsed="false">
      <c r="A78" s="5" t="s">
        <v>315</v>
      </c>
      <c r="B78" s="5" t="s">
        <v>316</v>
      </c>
      <c r="C78" s="5" t="s">
        <v>317</v>
      </c>
      <c r="D78" s="5" t="s">
        <v>318</v>
      </c>
      <c r="E78" s="5" t="s">
        <v>54</v>
      </c>
      <c r="F78" s="5" t="s">
        <v>20</v>
      </c>
      <c r="G78" s="6" t="s">
        <v>21</v>
      </c>
      <c r="H78" s="7" t="s">
        <v>22</v>
      </c>
      <c r="I78" s="6" t="s">
        <v>21</v>
      </c>
      <c r="J78" s="6" t="s">
        <v>23</v>
      </c>
      <c r="K78" s="7" t="n">
        <f aca="true">IF(I78="","",TODAY()-I78)</f>
        <v>0</v>
      </c>
      <c r="L78" s="7" t="str">
        <f aca="true">IF(J78="","",IF(TODAY()&gt;=J78,"YES","No"))</f>
        <v>No</v>
      </c>
      <c r="M78" s="5"/>
    </row>
    <row r="79" customFormat="false" ht="15" hidden="false" customHeight="false" outlineLevel="0" collapsed="false">
      <c r="A79" s="5" t="s">
        <v>319</v>
      </c>
      <c r="B79" s="5" t="s">
        <v>320</v>
      </c>
      <c r="C79" s="5" t="s">
        <v>321</v>
      </c>
      <c r="D79" s="5" t="s">
        <v>322</v>
      </c>
      <c r="E79" s="5" t="s">
        <v>54</v>
      </c>
      <c r="F79" s="5" t="s">
        <v>20</v>
      </c>
      <c r="G79" s="6" t="s">
        <v>21</v>
      </c>
      <c r="H79" s="7" t="s">
        <v>22</v>
      </c>
      <c r="I79" s="6" t="s">
        <v>21</v>
      </c>
      <c r="J79" s="6" t="s">
        <v>23</v>
      </c>
      <c r="K79" s="7" t="n">
        <f aca="true">IF(I79="","",TODAY()-I79)</f>
        <v>0</v>
      </c>
      <c r="L79" s="7" t="str">
        <f aca="true">IF(J79="","",IF(TODAY()&gt;=J79,"YES","No"))</f>
        <v>No</v>
      </c>
      <c r="M79" s="5"/>
    </row>
    <row r="80" customFormat="false" ht="15" hidden="false" customHeight="false" outlineLevel="0" collapsed="false">
      <c r="A80" s="5" t="s">
        <v>323</v>
      </c>
      <c r="B80" s="5" t="s">
        <v>324</v>
      </c>
      <c r="C80" s="5" t="s">
        <v>325</v>
      </c>
      <c r="D80" s="5" t="s">
        <v>326</v>
      </c>
      <c r="E80" s="5" t="s">
        <v>54</v>
      </c>
      <c r="F80" s="5" t="s">
        <v>20</v>
      </c>
      <c r="G80" s="6" t="s">
        <v>21</v>
      </c>
      <c r="H80" s="7" t="s">
        <v>22</v>
      </c>
      <c r="I80" s="6" t="s">
        <v>21</v>
      </c>
      <c r="J80" s="6" t="s">
        <v>23</v>
      </c>
      <c r="K80" s="7" t="n">
        <f aca="true">IF(I80="","",TODAY()-I80)</f>
        <v>0</v>
      </c>
      <c r="L80" s="7" t="str">
        <f aca="true">IF(J80="","",IF(TODAY()&gt;=J80,"YES","No"))</f>
        <v>No</v>
      </c>
      <c r="M80" s="5"/>
    </row>
  </sheetData>
  <autoFilter ref="A3:M28"/>
  <mergeCells count="2">
    <mergeCell ref="A1:M1"/>
    <mergeCell ref="A2:M2"/>
  </mergeCells>
  <conditionalFormatting sqref="H4:H28">
    <cfRule type="cellIs" priority="2" operator="equal" aboveAverage="0" equalAverage="0" bottom="0" percent="0" rank="0" text="" dxfId="6">
      <formula>"Replied — Interested"</formula>
    </cfRule>
    <cfRule type="cellIs" priority="3" operator="equal" aboveAverage="0" equalAverage="0" bottom="0" percent="0" rank="0" text="" dxfId="6">
      <formula>"Meeting Scheduled"</formula>
    </cfRule>
    <cfRule type="cellIs" priority="4" operator="equal" aboveAverage="0" equalAverage="0" bottom="0" percent="0" rank="0" text="" dxfId="7">
      <formula>"Onboarded"</formula>
    </cfRule>
    <cfRule type="cellIs" priority="5" operator="equal" aboveAverage="0" equalAverage="0" bottom="0" percent="0" rank="0" text="" dxfId="8">
      <formula>"No Response"</formula>
    </cfRule>
    <cfRule type="cellIs" priority="6" operator="equal" aboveAverage="0" equalAverage="0" bottom="0" percent="0" rank="0" text="" dxfId="8">
      <formula>"Bounced"</formula>
    </cfRule>
    <cfRule type="cellIs" priority="7" operator="equal" aboveAverage="0" equalAverage="0" bottom="0" percent="0" rank="0" text="" dxfId="9">
      <formula>"Follow-Up Sent"</formula>
    </cfRule>
  </conditionalFormatting>
  <conditionalFormatting sqref="L4:L28">
    <cfRule type="cellIs" priority="8" operator="equal" aboveAverage="0" equalAverage="0" bottom="0" percent="0" rank="0" text="" dxfId="10">
      <formula>"YES"</formula>
    </cfRule>
  </conditionalFormatting>
  <dataValidations count="1">
    <dataValidation allowBlank="true" error="Please select a valid status" errorStyle="stop" errorTitle="Invalid Status" operator="between" showDropDown="false" showErrorMessage="false" showInputMessage="false" sqref="H4:H80" type="list">
      <formula1>"Sent — Awaiting Reply,Follow-Up Sent,Replied — Interested,Replied — Not Interested,Meeting Scheduled,Onboarded,No Response,Bounced"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6" min="1" style="1" width="20"/>
  </cols>
  <sheetData>
    <row r="1" customFormat="false" ht="42" hidden="false" customHeight="true" outlineLevel="0" collapsed="false">
      <c r="A1" s="2" t="s">
        <v>327</v>
      </c>
      <c r="B1" s="2"/>
      <c r="C1" s="2"/>
      <c r="D1" s="2"/>
      <c r="E1" s="2"/>
      <c r="F1" s="2"/>
    </row>
    <row r="3" customFormat="false" ht="24" hidden="false" customHeight="true" outlineLevel="0" collapsed="false">
      <c r="A3" s="11" t="s">
        <v>328</v>
      </c>
      <c r="B3" s="11" t="s">
        <v>329</v>
      </c>
      <c r="C3" s="11" t="s">
        <v>330</v>
      </c>
      <c r="D3" s="11" t="s">
        <v>331</v>
      </c>
      <c r="E3" s="11" t="s">
        <v>332</v>
      </c>
      <c r="F3" s="11" t="s">
        <v>333</v>
      </c>
    </row>
    <row r="4" customFormat="false" ht="48" hidden="false" customHeight="true" outlineLevel="0" collapsed="false">
      <c r="A4" s="12" t="n">
        <f aca="false">COUNTA('Lead Tracker'!A4:A80)</f>
        <v>77</v>
      </c>
      <c r="B4" s="13" t="n">
        <f aca="false">COUNTIF('Lead Tracker'!H4:H80,"Sent — Awaiting Reply")+COUNTIF('Lead Tracker'!H4:H80,"Follow-Up Sent")</f>
        <v>77</v>
      </c>
      <c r="C4" s="14" t="n">
        <f aca="false">COUNTIF('Lead Tracker'!H4:H80,"Replied — Interested")</f>
        <v>0</v>
      </c>
      <c r="D4" s="14" t="n">
        <f aca="false">COUNTIF('Lead Tracker'!H4:H80,"Meeting Scheduled")</f>
        <v>0</v>
      </c>
      <c r="E4" s="15" t="n">
        <f aca="false">COUNTIF('Lead Tracker'!H4:H80,"Onboarded")</f>
        <v>0</v>
      </c>
      <c r="F4" s="16" t="n">
        <f aca="false">COUNTIF('Lead Tracker'!L4:L80,"YES")</f>
        <v>0</v>
      </c>
    </row>
    <row r="5" customFormat="false" ht="3.75" hidden="false" customHeight="true" outlineLevel="0" collapsed="false">
      <c r="A5" s="17"/>
      <c r="B5" s="18"/>
      <c r="C5" s="19"/>
      <c r="D5" s="19"/>
      <c r="E5" s="20"/>
      <c r="F5" s="21"/>
    </row>
    <row r="7" customFormat="false" ht="15" hidden="false" customHeight="true" outlineLevel="0" collapsed="false">
      <c r="A7" s="22" t="s">
        <v>334</v>
      </c>
    </row>
    <row r="8" customFormat="false" ht="15" hidden="false" customHeight="true" outlineLevel="0" collapsed="false">
      <c r="A8" s="23" t="s">
        <v>9</v>
      </c>
      <c r="B8" s="23" t="s">
        <v>335</v>
      </c>
      <c r="C8" s="23" t="s">
        <v>336</v>
      </c>
    </row>
    <row r="9" customFormat="false" ht="15" hidden="false" customHeight="true" outlineLevel="0" collapsed="false">
      <c r="A9" s="24" t="s">
        <v>22</v>
      </c>
      <c r="B9" s="25" t="n">
        <f aca="false">COUNTIF('Lead Tracker'!H4:H80,A9)</f>
        <v>77</v>
      </c>
      <c r="C9" s="26" t="n">
        <f aca="false">IF(B9=0,"-",B9/COUNTA('Lead Tracker'!A4:A80))</f>
        <v>1</v>
      </c>
    </row>
    <row r="10" customFormat="false" ht="15" hidden="false" customHeight="true" outlineLevel="0" collapsed="false">
      <c r="A10" s="24" t="s">
        <v>337</v>
      </c>
      <c r="B10" s="25" t="n">
        <f aca="false">COUNTIF('Lead Tracker'!H4:H80,A10)</f>
        <v>0</v>
      </c>
      <c r="C10" s="26" t="str">
        <f aca="false">IF(B10=0,"-",B10/COUNTA('Lead Tracker'!A4:A80))</f>
        <v>-</v>
      </c>
    </row>
    <row r="11" customFormat="false" ht="15" hidden="false" customHeight="true" outlineLevel="0" collapsed="false">
      <c r="A11" s="24" t="s">
        <v>338</v>
      </c>
      <c r="B11" s="25" t="n">
        <f aca="false">COUNTIF('Lead Tracker'!H4:H80,A11)</f>
        <v>0</v>
      </c>
      <c r="C11" s="26" t="str">
        <f aca="false">IF(B11=0,"-",B11/COUNTA('Lead Tracker'!A4:A80))</f>
        <v>-</v>
      </c>
    </row>
    <row r="12" customFormat="false" ht="15" hidden="false" customHeight="true" outlineLevel="0" collapsed="false">
      <c r="A12" s="24" t="s">
        <v>339</v>
      </c>
      <c r="B12" s="25" t="n">
        <f aca="false">COUNTIF('Lead Tracker'!H4:H80,A12)</f>
        <v>0</v>
      </c>
      <c r="C12" s="26" t="str">
        <f aca="false">IF(B12=0,"-",B12/COUNTA('Lead Tracker'!A4:A80))</f>
        <v>-</v>
      </c>
    </row>
    <row r="13" customFormat="false" ht="15" hidden="false" customHeight="true" outlineLevel="0" collapsed="false">
      <c r="A13" s="24" t="s">
        <v>340</v>
      </c>
      <c r="B13" s="25" t="n">
        <f aca="false">COUNTIF('Lead Tracker'!H4:H80,A13)</f>
        <v>0</v>
      </c>
      <c r="C13" s="26" t="str">
        <f aca="false">IF(B13=0,"-",B13/COUNTA('Lead Tracker'!A4:A80))</f>
        <v>-</v>
      </c>
    </row>
    <row r="14" customFormat="false" ht="15" hidden="false" customHeight="true" outlineLevel="0" collapsed="false">
      <c r="A14" s="24" t="s">
        <v>332</v>
      </c>
      <c r="B14" s="25" t="n">
        <f aca="false">COUNTIF('Lead Tracker'!H4:H80,A14)</f>
        <v>0</v>
      </c>
      <c r="C14" s="26" t="str">
        <f aca="false">IF(B14=0,"-",B14/COUNTA('Lead Tracker'!A4:A80))</f>
        <v>-</v>
      </c>
    </row>
    <row r="15" customFormat="false" ht="15" hidden="false" customHeight="true" outlineLevel="0" collapsed="false">
      <c r="A15" s="24" t="s">
        <v>341</v>
      </c>
      <c r="B15" s="25" t="n">
        <f aca="false">COUNTIF('Lead Tracker'!H4:H80,A15)</f>
        <v>0</v>
      </c>
      <c r="C15" s="26" t="str">
        <f aca="false">IF(B15=0,"-",B15/COUNTA('Lead Tracker'!A4:A80))</f>
        <v>-</v>
      </c>
    </row>
    <row r="16" customFormat="false" ht="15" hidden="false" customHeight="true" outlineLevel="0" collapsed="false">
      <c r="A16" s="24" t="s">
        <v>342</v>
      </c>
      <c r="B16" s="25" t="n">
        <f aca="false">COUNTIF('Lead Tracker'!H4:H80,A16)</f>
        <v>0</v>
      </c>
      <c r="C16" s="26" t="str">
        <f aca="false">IF(B16=0,"-",B16/COUNTA('Lead Tracker'!A4:A80))</f>
        <v>-</v>
      </c>
    </row>
    <row r="18" customFormat="false" ht="15" hidden="false" customHeight="true" outlineLevel="0" collapsed="false">
      <c r="A18" s="27" t="s">
        <v>343</v>
      </c>
      <c r="B18" s="28" t="n">
        <f aca="false">COUNTIFS('Lead Tracker'!H4:H80,"&lt;&gt;Sent — Awaiting Reply",'Lead Tracker'!H4:H80,"&lt;&gt;Follow-Up Sent",'Lead Tracker'!H4:H80,"&lt;&gt;No Response",'Lead Tracker'!H4:H80,"&lt;&gt;Bounced",'Lead Tracker'!H4:H80,"&lt;&gt;")</f>
        <v>0</v>
      </c>
      <c r="C18" s="29" t="str">
        <f aca="false">IF(B18=0,"-",B18/COUNTA('Lead Tracker'!A4:A80))</f>
        <v>-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6"/>
    <col collapsed="false" customWidth="true" hidden="false" outlineLevel="0" max="3" min="2" style="1" width="12"/>
    <col collapsed="false" customWidth="true" hidden="false" outlineLevel="0" max="4" min="4" style="1" width="52"/>
  </cols>
  <sheetData>
    <row r="1" customFormat="false" ht="37.5" hidden="false" customHeight="true" outlineLevel="0" collapsed="false">
      <c r="A1" s="30" t="s">
        <v>344</v>
      </c>
      <c r="B1" s="30"/>
      <c r="C1" s="30"/>
      <c r="D1" s="30"/>
    </row>
    <row r="3" customFormat="false" ht="15" hidden="false" customHeight="true" outlineLevel="0" collapsed="false">
      <c r="A3" s="31" t="s">
        <v>345</v>
      </c>
      <c r="B3" s="31" t="s">
        <v>346</v>
      </c>
      <c r="C3" s="31" t="s">
        <v>347</v>
      </c>
      <c r="D3" s="31" t="s">
        <v>348</v>
      </c>
    </row>
    <row r="4" customFormat="false" ht="15" hidden="false" customHeight="true" outlineLevel="0" collapsed="false">
      <c r="A4" s="32" t="s">
        <v>349</v>
      </c>
      <c r="B4" s="32" t="s">
        <v>350</v>
      </c>
      <c r="C4" s="32" t="s">
        <v>4</v>
      </c>
      <c r="D4" s="32" t="s">
        <v>351</v>
      </c>
    </row>
    <row r="5" customFormat="false" ht="15" hidden="false" customHeight="true" outlineLevel="0" collapsed="false">
      <c r="A5" s="33" t="s">
        <v>352</v>
      </c>
      <c r="B5" s="33" t="s">
        <v>353</v>
      </c>
      <c r="C5" s="33" t="s">
        <v>4</v>
      </c>
      <c r="D5" s="33" t="s">
        <v>354</v>
      </c>
    </row>
    <row r="6" customFormat="false" ht="15" hidden="false" customHeight="true" outlineLevel="0" collapsed="false">
      <c r="A6" s="32" t="s">
        <v>355</v>
      </c>
      <c r="B6" s="32" t="s">
        <v>356</v>
      </c>
      <c r="C6" s="32" t="s">
        <v>4</v>
      </c>
      <c r="D6" s="32" t="s">
        <v>357</v>
      </c>
    </row>
    <row r="7" customFormat="false" ht="15" hidden="false" customHeight="true" outlineLevel="0" collapsed="false">
      <c r="A7" s="33" t="s">
        <v>358</v>
      </c>
      <c r="B7" s="33" t="s">
        <v>359</v>
      </c>
      <c r="C7" s="33" t="s">
        <v>5</v>
      </c>
      <c r="D7" s="33" t="s">
        <v>360</v>
      </c>
    </row>
    <row r="8" customFormat="false" ht="15" hidden="false" customHeight="true" outlineLevel="0" collapsed="false">
      <c r="A8" s="32" t="s">
        <v>361</v>
      </c>
      <c r="B8" s="32" t="s">
        <v>362</v>
      </c>
      <c r="C8" s="32" t="s">
        <v>4</v>
      </c>
      <c r="D8" s="32" t="s">
        <v>363</v>
      </c>
    </row>
    <row r="9" customFormat="false" ht="15" hidden="false" customHeight="true" outlineLevel="0" collapsed="false">
      <c r="A9" s="33" t="s">
        <v>364</v>
      </c>
      <c r="B9" s="33" t="s">
        <v>365</v>
      </c>
      <c r="C9" s="33" t="s">
        <v>366</v>
      </c>
      <c r="D9" s="33" t="s">
        <v>367</v>
      </c>
    </row>
    <row r="11" customFormat="false" ht="15" hidden="false" customHeight="true" outlineLevel="0" collapsed="false">
      <c r="A11" s="22" t="s">
        <v>368</v>
      </c>
    </row>
    <row r="13" customFormat="false" ht="15" hidden="false" customHeight="true" outlineLevel="0" collapsed="false">
      <c r="A13" s="34" t="s">
        <v>369</v>
      </c>
      <c r="B13" s="35" t="s">
        <v>370</v>
      </c>
      <c r="C13" s="35"/>
      <c r="D13" s="35"/>
    </row>
    <row r="14" customFormat="false" ht="15" hidden="false" customHeight="true" outlineLevel="0" collapsed="false">
      <c r="B14" s="35"/>
      <c r="C14" s="35"/>
      <c r="D14" s="35"/>
    </row>
    <row r="15" customFormat="false" ht="15" hidden="false" customHeight="true" outlineLevel="0" collapsed="false">
      <c r="B15" s="35"/>
      <c r="C15" s="35"/>
      <c r="D15" s="35"/>
    </row>
    <row r="16" customFormat="false" ht="15" hidden="false" customHeight="true" outlineLevel="0" collapsed="false">
      <c r="B16" s="35"/>
      <c r="C16" s="35"/>
      <c r="D16" s="35"/>
    </row>
    <row r="17" customFormat="false" ht="15" hidden="false" customHeight="true" outlineLevel="0" collapsed="false">
      <c r="B17" s="35"/>
      <c r="C17" s="35"/>
      <c r="D17" s="35"/>
    </row>
    <row r="18" customFormat="false" ht="15" hidden="false" customHeight="true" outlineLevel="0" collapsed="false">
      <c r="B18" s="35"/>
      <c r="C18" s="35"/>
      <c r="D18" s="35"/>
    </row>
    <row r="19" customFormat="false" ht="15" hidden="false" customHeight="true" outlineLevel="0" collapsed="false">
      <c r="B19" s="35"/>
      <c r="C19" s="35"/>
      <c r="D19" s="35"/>
    </row>
    <row r="21" customFormat="false" ht="15" hidden="false" customHeight="true" outlineLevel="0" collapsed="false">
      <c r="A21" s="34" t="s">
        <v>371</v>
      </c>
      <c r="B21" s="35" t="s">
        <v>372</v>
      </c>
      <c r="C21" s="35"/>
      <c r="D21" s="35"/>
    </row>
    <row r="22" customFormat="false" ht="15" hidden="false" customHeight="true" outlineLevel="0" collapsed="false">
      <c r="B22" s="35"/>
      <c r="C22" s="35"/>
      <c r="D22" s="35"/>
    </row>
    <row r="23" customFormat="false" ht="15" hidden="false" customHeight="true" outlineLevel="0" collapsed="false">
      <c r="B23" s="35"/>
      <c r="C23" s="35"/>
      <c r="D23" s="35"/>
    </row>
    <row r="24" customFormat="false" ht="15" hidden="false" customHeight="true" outlineLevel="0" collapsed="false">
      <c r="B24" s="35"/>
      <c r="C24" s="35"/>
      <c r="D24" s="35"/>
    </row>
    <row r="25" customFormat="false" ht="15" hidden="false" customHeight="true" outlineLevel="0" collapsed="false">
      <c r="B25" s="35"/>
      <c r="C25" s="35"/>
      <c r="D25" s="35"/>
    </row>
    <row r="26" customFormat="false" ht="15" hidden="false" customHeight="true" outlineLevel="0" collapsed="false">
      <c r="B26" s="35"/>
      <c r="C26" s="35"/>
      <c r="D26" s="35"/>
    </row>
    <row r="27" customFormat="false" ht="15" hidden="false" customHeight="true" outlineLevel="0" collapsed="false">
      <c r="B27" s="35"/>
      <c r="C27" s="35"/>
      <c r="D27" s="35"/>
    </row>
    <row r="29" customFormat="false" ht="15" hidden="false" customHeight="true" outlineLevel="0" collapsed="false">
      <c r="A29" s="34" t="s">
        <v>373</v>
      </c>
      <c r="B29" s="35" t="s">
        <v>374</v>
      </c>
      <c r="C29" s="35"/>
      <c r="D29" s="35"/>
    </row>
    <row r="30" customFormat="false" ht="15" hidden="false" customHeight="true" outlineLevel="0" collapsed="false">
      <c r="B30" s="35"/>
      <c r="C30" s="35"/>
      <c r="D30" s="35"/>
    </row>
    <row r="31" customFormat="false" ht="15" hidden="false" customHeight="true" outlineLevel="0" collapsed="false">
      <c r="B31" s="35"/>
      <c r="C31" s="35"/>
      <c r="D31" s="35"/>
    </row>
    <row r="32" customFormat="false" ht="15" hidden="false" customHeight="true" outlineLevel="0" collapsed="false">
      <c r="B32" s="35"/>
      <c r="C32" s="35"/>
      <c r="D32" s="35"/>
    </row>
    <row r="33" customFormat="false" ht="15" hidden="false" customHeight="true" outlineLevel="0" collapsed="false">
      <c r="B33" s="35"/>
      <c r="C33" s="35"/>
      <c r="D33" s="35"/>
    </row>
    <row r="34" customFormat="false" ht="15" hidden="false" customHeight="true" outlineLevel="0" collapsed="false">
      <c r="B34" s="35"/>
      <c r="C34" s="35"/>
      <c r="D34" s="35"/>
    </row>
    <row r="35" customFormat="false" ht="15" hidden="false" customHeight="true" outlineLevel="0" collapsed="false">
      <c r="B35" s="35"/>
      <c r="C35" s="35"/>
      <c r="D35" s="35"/>
    </row>
  </sheetData>
  <mergeCells count="4">
    <mergeCell ref="A1:D1"/>
    <mergeCell ref="B13:D19"/>
    <mergeCell ref="B21:D27"/>
    <mergeCell ref="B29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2026-03-27T20:46:43Z</dcterms:created>
  <dc:creator>openpyxl</dc:creator>
  <dc:description/>
  <dc:language>en-US</dc:language>
  <cp:lastModifiedBy/>
  <dcterms:modified xsi:type="dcterms:W3CDTF">2026-03-27T21:46:37Z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